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5"/>
    <sheet state="visible" name="açudes" sheetId="2" r:id="rId6"/>
    <sheet state="hidden" name="prog" sheetId="3" r:id="rId7"/>
    <sheet state="hidden" name="oper" sheetId="4" r:id="rId8"/>
    <sheet state="hidden" name="gest" sheetId="5" r:id="rId9"/>
  </sheets>
  <definedNames/>
  <calcPr/>
</workbook>
</file>

<file path=xl/sharedStrings.xml><?xml version="1.0" encoding="utf-8"?>
<sst xmlns="http://schemas.openxmlformats.org/spreadsheetml/2006/main" count="65" uniqueCount="63">
  <si>
    <t>PAINEL DE INDICADORES</t>
  </si>
  <si>
    <t>Meta</t>
  </si>
  <si>
    <t>Realizado</t>
  </si>
  <si>
    <t>Próxima</t>
  </si>
  <si>
    <t>NÚCLEO DE GESTÃO</t>
  </si>
  <si>
    <t>NÚCLEO DE GESTÃO PARTICIPATIVA</t>
  </si>
  <si>
    <t>6. CBH – Reunião Ordinária do Comitê</t>
  </si>
  <si>
    <t>Reunião Ordinária</t>
  </si>
  <si>
    <t>Ordinária 1</t>
  </si>
  <si>
    <t>Ordinária 2</t>
  </si>
  <si>
    <t>Ordinária 3</t>
  </si>
  <si>
    <t>Ordinária 4</t>
  </si>
  <si>
    <t>7. CBH – Reunião Extraordinária do Comitê</t>
  </si>
  <si>
    <t>Reunião Extraordinária</t>
  </si>
  <si>
    <t>Extraordinária 1</t>
  </si>
  <si>
    <t>Extraordinária 2</t>
  </si>
  <si>
    <t>Extraordinária 3</t>
  </si>
  <si>
    <t>Extraordinária 4</t>
  </si>
  <si>
    <t>Extraordinária 5</t>
  </si>
  <si>
    <t>12. CBH – Reunião do Fórum Cearense de Comitê</t>
  </si>
  <si>
    <t xml:space="preserve">Reunião do Fórum Cearense de Comitê </t>
  </si>
  <si>
    <t>FCCH 1</t>
  </si>
  <si>
    <t>FCCH 2</t>
  </si>
  <si>
    <t>FCCH 3</t>
  </si>
  <si>
    <t>FCCH 4</t>
  </si>
  <si>
    <t>16. CG – Capacitação da Comissão Gestora</t>
  </si>
  <si>
    <t>Capacitação da Comissão Gestora</t>
  </si>
  <si>
    <t>1. Alocação de água – Reunião de Alocação Participativa</t>
  </si>
  <si>
    <t>Alocação participativa</t>
  </si>
  <si>
    <t>2. Alocação de água – Reunião de Acompanhamento da Operação</t>
  </si>
  <si>
    <t>Acompanhamento da Operação</t>
  </si>
  <si>
    <t>3. Alocação de água – Reunião de Avaliação da Operação</t>
  </si>
  <si>
    <t xml:space="preserve"> Avaliação da Operação</t>
  </si>
  <si>
    <t>NÚCLEO DE OPERAÇÃO</t>
  </si>
  <si>
    <t>INDICADOR 1: CORREÇÃO DAS ANOMALIAS DE RESPONSABILIDADE DAS REGIONAIS (R) E DOS AGIRS (A) DAS BARRAGENS ESTADUAIS MONITORADAS PELA COGERH</t>
  </si>
  <si>
    <t>Anomalias Corrigidas</t>
  </si>
  <si>
    <t>Objetivos: Promover a Operação a Manutenção e a Segurança da Infraestrutura Hídrica da Companhia</t>
  </si>
  <si>
    <t>Anomalias - Regional</t>
  </si>
  <si>
    <t>Anomalias - Agirs</t>
  </si>
  <si>
    <t>INDICADOR 2: ÍNDICE DE REGULARIZAÇÃO DE COBRANÇA</t>
  </si>
  <si>
    <t>Regularização da Cobrança</t>
  </si>
  <si>
    <t>Objetivos: Expandir e Diversificar a Receita; Ampliar a Regularização do Uso dos Recursos Hídricos</t>
  </si>
  <si>
    <t>Regularização Novos usuários</t>
  </si>
  <si>
    <t>Regularização Inadimplentes</t>
  </si>
  <si>
    <t>INDICADOR 3: FISCALIZAÇÃO</t>
  </si>
  <si>
    <t>Fiscalização</t>
  </si>
  <si>
    <t>Objetivos: Ampliar a regularização do uso dos recursos hídricos</t>
  </si>
  <si>
    <t>Com RV</t>
  </si>
  <si>
    <t>Sem RV</t>
  </si>
  <si>
    <t>INDICADOR 4: INSTALACÃO E MANUTENÇÃO DE MEDIDORES</t>
  </si>
  <si>
    <t>Instalação e Manutenção de medidores</t>
  </si>
  <si>
    <t>Manutenções</t>
  </si>
  <si>
    <t xml:space="preserve">Instalações </t>
  </si>
  <si>
    <t>Medições</t>
  </si>
  <si>
    <t>INDICADOR 5: QUANTIDADE DE BATIMETRIAS REALIZADAS (0 DE 2)</t>
  </si>
  <si>
    <t>Batrimetrias</t>
  </si>
  <si>
    <t>PROGRAMAÇÃO DE HOJE</t>
  </si>
  <si>
    <t>AÇUDES</t>
  </si>
  <si>
    <t>hm³</t>
  </si>
  <si>
    <t>%</t>
  </si>
  <si>
    <t>FISCALIZAÇÃO</t>
  </si>
  <si>
    <t>SEM RV</t>
  </si>
  <si>
    <t>MANUTENÇÃO E INSTALAÇÃO: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</si>
</sst>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%"/>
    <numFmt numFmtId="166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3E3FD"/>
        <bgColor rgb="FFD3E3F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vertical="center"/>
    </xf>
    <xf borderId="0" fillId="3" fontId="2" numFmtId="0" xfId="0" applyFont="1"/>
    <xf borderId="0" fillId="4" fontId="2" numFmtId="0" xfId="0" applyAlignment="1" applyFill="1" applyFont="1">
      <alignment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5" fontId="2" numFmtId="0" xfId="0" applyAlignment="1" applyFill="1" applyFont="1">
      <alignment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5" fontId="2" numFmtId="0" xfId="0" applyFont="1"/>
    <xf borderId="0" fillId="5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horizontal="center" readingOrder="0" shrinkToFit="0" wrapText="1"/>
    </xf>
    <xf borderId="0" fillId="4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4" fontId="1" numFmtId="165" xfId="0" applyAlignment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readingOrder="0" shrinkToFit="0" vertical="center" wrapText="1"/>
    </xf>
    <xf borderId="0" fillId="6" fontId="1" numFmtId="0" xfId="0" applyAlignment="1" applyFill="1" applyFont="1">
      <alignment readingOrder="0"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vertical="center"/>
    </xf>
    <xf borderId="0" fillId="6" fontId="2" numFmtId="0" xfId="0" applyFont="1"/>
    <xf borderId="0" fillId="0" fontId="2" numFmtId="49" xfId="0" applyAlignment="1" applyFont="1" applyNumberFormat="1">
      <alignment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shrinkToFit="0" vertical="center" wrapText="1"/>
    </xf>
    <xf borderId="0" fillId="0" fontId="2" numFmtId="0" xfId="0" applyFont="1"/>
    <xf borderId="0" fillId="0" fontId="2" numFmtId="2" xfId="0" applyFont="1" applyNumberFormat="1"/>
    <xf borderId="0" fillId="0" fontId="2" numFmtId="3" xfId="0" applyFont="1" applyNumberFormat="1"/>
    <xf borderId="0" fillId="0" fontId="2" numFmtId="10" xfId="0" applyFont="1" applyNumberFormat="1"/>
    <xf borderId="0" fillId="0" fontId="2" numFmtId="4" xfId="0" applyFont="1" applyNumberFormat="1"/>
    <xf borderId="0" fillId="0" fontId="2" numFmtId="49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2" numFmtId="1" xfId="0" applyFont="1" applyNumberFormat="1"/>
    <xf borderId="0" fillId="3" fontId="2" numFmtId="1" xfId="0" applyFont="1" applyNumberFormat="1"/>
    <xf borderId="0" fillId="3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88"/>
    <col customWidth="1" min="2" max="9" width="19.25"/>
    <col customWidth="1" min="10" max="10" width="19.13"/>
    <col customWidth="1" min="11" max="11" width="17.5"/>
  </cols>
  <sheetData>
    <row r="1" ht="31.5" customHeight="1">
      <c r="A1" s="1" t="s">
        <v>0</v>
      </c>
      <c r="B1" s="2"/>
      <c r="C1" s="1" t="s">
        <v>1</v>
      </c>
      <c r="D1" s="1"/>
      <c r="E1" s="1" t="s">
        <v>2</v>
      </c>
      <c r="F1" s="1" t="s">
        <v>3</v>
      </c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30.0" customHeight="1">
      <c r="A2" s="4" t="s">
        <v>4</v>
      </c>
      <c r="B2" s="5" t="s">
        <v>5</v>
      </c>
      <c r="C2" s="6"/>
      <c r="D2" s="6"/>
      <c r="E2" s="6"/>
      <c r="F2" s="6"/>
      <c r="G2" s="6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8" t="s">
        <v>6</v>
      </c>
      <c r="B3" s="9" t="s">
        <v>7</v>
      </c>
      <c r="C3" s="10">
        <v>160.0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3"/>
      <c r="B4" s="14" t="s">
        <v>8</v>
      </c>
      <c r="C4" s="15">
        <v>40.0</v>
      </c>
      <c r="D4" s="16">
        <f>IFERROR(__xludf.DUMMYFUNCTION("FILTER(gest!B:C,(gest!A:A=A3)*(YEAR(gest!B:B)=YEAR(TODAY())))"),46079.0)</f>
        <v>46079</v>
      </c>
      <c r="E4" s="17" t="str">
        <f>IFERROR(__xludf.DUMMYFUNCTION("""COMPUTED_VALUE"""),"34")</f>
        <v>34</v>
      </c>
      <c r="F4" s="17" t="str">
        <f t="shared" ref="F4:F7" si="1">IF(AND(ISBLANK(E4),NOT(ISBLANK(D4))),D4,"")</f>
        <v/>
      </c>
      <c r="G4" s="17"/>
      <c r="H4" s="17"/>
      <c r="I4" s="17"/>
      <c r="J4" s="17"/>
      <c r="K4" s="17"/>
    </row>
    <row r="5">
      <c r="A5" s="13"/>
      <c r="B5" s="14" t="s">
        <v>9</v>
      </c>
      <c r="C5" s="15">
        <v>40.0</v>
      </c>
      <c r="D5" s="16">
        <f>IFERROR(__xludf.DUMMYFUNCTION("""COMPUTED_VALUE"""),46198.0)</f>
        <v>46198</v>
      </c>
      <c r="E5" s="17"/>
      <c r="F5" s="16">
        <f t="shared" si="1"/>
        <v>46198</v>
      </c>
      <c r="G5" s="17"/>
      <c r="H5" s="17"/>
      <c r="I5" s="17"/>
      <c r="J5" s="17"/>
      <c r="K5" s="17"/>
    </row>
    <row r="6">
      <c r="A6" s="13"/>
      <c r="B6" s="14" t="s">
        <v>10</v>
      </c>
      <c r="C6" s="15">
        <v>40.0</v>
      </c>
      <c r="D6" s="17"/>
      <c r="E6" s="17"/>
      <c r="F6" s="17" t="str">
        <f t="shared" si="1"/>
        <v/>
      </c>
      <c r="G6" s="17"/>
      <c r="H6" s="17"/>
      <c r="I6" s="17"/>
      <c r="J6" s="17"/>
      <c r="K6" s="17"/>
    </row>
    <row r="7">
      <c r="A7" s="13"/>
      <c r="B7" s="14" t="s">
        <v>11</v>
      </c>
      <c r="C7" s="15">
        <v>40.0</v>
      </c>
      <c r="D7" s="17"/>
      <c r="E7" s="17"/>
      <c r="F7" s="17" t="str">
        <f t="shared" si="1"/>
        <v/>
      </c>
      <c r="G7" s="17"/>
      <c r="H7" s="17"/>
      <c r="I7" s="17"/>
      <c r="J7" s="17"/>
      <c r="K7" s="17"/>
    </row>
    <row r="8">
      <c r="A8" s="8" t="s">
        <v>12</v>
      </c>
      <c r="B8" s="9" t="s">
        <v>13</v>
      </c>
      <c r="C8" s="10">
        <v>160.0</v>
      </c>
      <c r="D8" s="11"/>
      <c r="E8" s="11"/>
      <c r="F8" s="11"/>
      <c r="G8" s="11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B9" s="14" t="s">
        <v>14</v>
      </c>
      <c r="C9" s="15">
        <v>40.0</v>
      </c>
      <c r="D9" s="16">
        <f>IFERROR(__xludf.DUMMYFUNCTION("FILTER(gest!B:C,(gest!A:A=A8)*(YEAR(gest!B:B)=YEAR(TODAY())))"),46176.0)</f>
        <v>46176</v>
      </c>
      <c r="E9" s="17" t="str">
        <f>IFERROR(__xludf.DUMMYFUNCTION("""COMPUTED_VALUE"""),"28")</f>
        <v>28</v>
      </c>
      <c r="F9" s="17" t="str">
        <f t="shared" ref="F9:F13" si="2">IF(AND(ISBLANK(E9),NOT(ISBLANK(D9))),D9,"")</f>
        <v/>
      </c>
      <c r="G9" s="17"/>
      <c r="H9" s="17"/>
      <c r="I9" s="17"/>
      <c r="J9" s="17"/>
      <c r="K9" s="17"/>
    </row>
    <row r="10">
      <c r="A10" s="13"/>
      <c r="B10" s="14" t="s">
        <v>15</v>
      </c>
      <c r="C10" s="15">
        <v>40.0</v>
      </c>
      <c r="D10" s="17"/>
      <c r="E10" s="17"/>
      <c r="F10" s="17" t="str">
        <f t="shared" si="2"/>
        <v/>
      </c>
      <c r="G10" s="17"/>
      <c r="H10" s="17"/>
      <c r="I10" s="17"/>
      <c r="J10" s="17"/>
      <c r="K10" s="17"/>
    </row>
    <row r="11">
      <c r="B11" s="14" t="s">
        <v>16</v>
      </c>
      <c r="C11" s="15">
        <v>40.0</v>
      </c>
      <c r="D11" s="17"/>
      <c r="E11" s="17"/>
      <c r="F11" s="17" t="str">
        <f t="shared" si="2"/>
        <v/>
      </c>
      <c r="G11" s="17"/>
      <c r="H11" s="17"/>
      <c r="I11" s="17"/>
      <c r="J11" s="17"/>
      <c r="K11" s="17"/>
    </row>
    <row r="12">
      <c r="A12" s="13"/>
      <c r="B12" s="14" t="s">
        <v>17</v>
      </c>
      <c r="C12" s="15">
        <v>40.0</v>
      </c>
      <c r="D12" s="17"/>
      <c r="E12" s="17"/>
      <c r="F12" s="17" t="str">
        <f t="shared" si="2"/>
        <v/>
      </c>
      <c r="G12" s="17"/>
      <c r="H12" s="17"/>
      <c r="I12" s="17"/>
      <c r="J12" s="17"/>
      <c r="K12" s="17"/>
    </row>
    <row r="13">
      <c r="A13" s="13"/>
      <c r="B13" s="14" t="s">
        <v>18</v>
      </c>
      <c r="C13" s="15">
        <v>40.0</v>
      </c>
      <c r="D13" s="17"/>
      <c r="E13" s="17"/>
      <c r="F13" s="17" t="str">
        <f t="shared" si="2"/>
        <v/>
      </c>
      <c r="G13" s="17"/>
      <c r="H13" s="17"/>
      <c r="I13" s="17"/>
      <c r="J13" s="17"/>
      <c r="K13" s="17"/>
    </row>
    <row r="14">
      <c r="A14" s="8" t="s">
        <v>19</v>
      </c>
      <c r="B14" s="9" t="s">
        <v>20</v>
      </c>
      <c r="C14" s="10">
        <v>4.0</v>
      </c>
      <c r="D14" s="11"/>
      <c r="E14" s="11">
        <f>COUNTA(E15:E18)</f>
        <v>1</v>
      </c>
      <c r="F14" s="11"/>
      <c r="G14" s="11"/>
      <c r="H14" s="11"/>
      <c r="I14" s="8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B15" s="14" t="s">
        <v>21</v>
      </c>
      <c r="C15" s="15"/>
      <c r="D15" s="16">
        <f>IFERROR(__xludf.DUMMYFUNCTION("FILTER(gest!B:C,(gest!A:A=A14)*(YEAR(gest!B:B)=YEAR(TODAY())))"),46063.0)</f>
        <v>46063</v>
      </c>
      <c r="E15" s="17" t="str">
        <f>IFERROR(__xludf.DUMMYFUNCTION("""COMPUTED_VALUE"""),"1")</f>
        <v>1</v>
      </c>
      <c r="F15" s="17" t="str">
        <f t="shared" ref="F15:F18" si="3">IF(AND(ISBLANK(E15),NOT(ISBLANK(D15))),D15,"")</f>
        <v/>
      </c>
      <c r="G15" s="17"/>
      <c r="H15" s="17"/>
      <c r="I15" s="17"/>
      <c r="J15" s="17"/>
      <c r="K15" s="17"/>
    </row>
    <row r="16">
      <c r="A16" s="13"/>
      <c r="B16" s="14" t="s">
        <v>22</v>
      </c>
      <c r="C16" s="15"/>
      <c r="D16" s="16">
        <f>IFERROR(__xludf.DUMMYFUNCTION("""COMPUTED_VALUE"""),46189.0)</f>
        <v>46189</v>
      </c>
      <c r="E16" s="17"/>
      <c r="F16" s="16">
        <f t="shared" si="3"/>
        <v>46189</v>
      </c>
      <c r="G16" s="17"/>
      <c r="H16" s="17"/>
      <c r="I16" s="17"/>
      <c r="J16" s="17"/>
      <c r="K16" s="17"/>
    </row>
    <row r="17">
      <c r="B17" s="14" t="s">
        <v>23</v>
      </c>
      <c r="C17" s="15"/>
      <c r="D17" s="17"/>
      <c r="E17" s="17"/>
      <c r="F17" s="17" t="str">
        <f t="shared" si="3"/>
        <v/>
      </c>
      <c r="G17" s="17"/>
      <c r="H17" s="17"/>
      <c r="I17" s="17"/>
      <c r="J17" s="17"/>
      <c r="K17" s="17"/>
    </row>
    <row r="18">
      <c r="A18" s="13"/>
      <c r="B18" s="14" t="s">
        <v>24</v>
      </c>
      <c r="C18" s="15"/>
      <c r="D18" s="17"/>
      <c r="E18" s="17"/>
      <c r="F18" s="17" t="str">
        <f t="shared" si="3"/>
        <v/>
      </c>
      <c r="G18" s="17"/>
      <c r="H18" s="17"/>
      <c r="I18" s="17"/>
      <c r="J18" s="17"/>
      <c r="K18" s="17"/>
    </row>
    <row r="19">
      <c r="A19" s="8" t="s">
        <v>25</v>
      </c>
      <c r="B19" s="9" t="s">
        <v>26</v>
      </c>
      <c r="C19" s="10">
        <v>8.0</v>
      </c>
      <c r="D19" s="11"/>
      <c r="E19" s="11">
        <f>COUNTIFS(gest!A:A,A19,gest!B:B,"&gt;="&amp;DATE(YEAR(TODAY()),1,1),gest!B:B,"&lt;="&amp;TODAY())</f>
        <v>2</v>
      </c>
      <c r="F19" s="11"/>
      <c r="G19" s="11"/>
      <c r="H19" s="11"/>
      <c r="I19" s="11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3"/>
      <c r="B20" s="14"/>
      <c r="C20" s="15"/>
      <c r="D20" s="16">
        <f>IFERROR(__xludf.DUMMYFUNCTION("FILTER(gest!B:C,(gest!A:A=A19)*(YEAR(gest!B:B)=YEAR(TODAY())))"),46087.0)</f>
        <v>46087</v>
      </c>
      <c r="E20" s="17" t="str">
        <f>IFERROR(__xludf.DUMMYFUNCTION("""COMPUTED_VALUE"""),"8")</f>
        <v>8</v>
      </c>
      <c r="F20" s="17"/>
      <c r="G20" s="17"/>
      <c r="H20" s="17"/>
      <c r="I20" s="17"/>
      <c r="J20" s="17"/>
      <c r="K20" s="17"/>
    </row>
    <row r="21">
      <c r="A21" s="13"/>
      <c r="B21" s="14"/>
      <c r="C21" s="15"/>
      <c r="D21" s="16">
        <f>IFERROR(__xludf.DUMMYFUNCTION("""COMPUTED_VALUE"""),46090.0)</f>
        <v>46090</v>
      </c>
      <c r="E21" s="17" t="str">
        <f>IFERROR(__xludf.DUMMYFUNCTION("""COMPUTED_VALUE"""),"6")</f>
        <v>6</v>
      </c>
      <c r="F21" s="17"/>
      <c r="G21" s="17"/>
      <c r="H21" s="17"/>
      <c r="I21" s="17"/>
      <c r="J21" s="17"/>
      <c r="K21" s="17"/>
    </row>
    <row r="22">
      <c r="A22" s="13"/>
      <c r="B22" s="14"/>
      <c r="C22" s="15"/>
      <c r="D22" s="17"/>
      <c r="E22" s="17"/>
      <c r="F22" s="17"/>
      <c r="G22" s="17"/>
      <c r="H22" s="17"/>
      <c r="I22" s="17"/>
      <c r="J22" s="17"/>
      <c r="K22" s="17"/>
    </row>
    <row r="23">
      <c r="A23" s="13"/>
      <c r="B23" s="14"/>
      <c r="C23" s="15"/>
      <c r="D23" s="17"/>
      <c r="E23" s="17"/>
      <c r="F23" s="17"/>
      <c r="G23" s="17"/>
      <c r="H23" s="17"/>
      <c r="I23" s="17"/>
      <c r="J23" s="17"/>
      <c r="K23" s="17"/>
    </row>
    <row r="24">
      <c r="A24" s="13"/>
      <c r="B24" s="14"/>
      <c r="C24" s="15"/>
      <c r="D24" s="17"/>
      <c r="E24" s="17"/>
      <c r="F24" s="17"/>
      <c r="G24" s="17"/>
      <c r="H24" s="17"/>
      <c r="I24" s="17"/>
      <c r="J24" s="17"/>
      <c r="K24" s="17"/>
    </row>
    <row r="25">
      <c r="A25" s="13"/>
      <c r="B25" s="14"/>
      <c r="C25" s="15"/>
      <c r="D25" s="17"/>
      <c r="E25" s="17"/>
      <c r="F25" s="17"/>
      <c r="G25" s="17"/>
      <c r="H25" s="17"/>
      <c r="I25" s="17"/>
      <c r="J25" s="17"/>
      <c r="K25" s="17"/>
    </row>
    <row r="26">
      <c r="A26" s="13"/>
      <c r="B26" s="14"/>
      <c r="C26" s="15"/>
      <c r="D26" s="17"/>
      <c r="E26" s="17"/>
      <c r="F26" s="17"/>
      <c r="G26" s="17"/>
      <c r="H26" s="17"/>
      <c r="I26" s="17"/>
      <c r="J26" s="17"/>
      <c r="K26" s="17"/>
    </row>
    <row r="27">
      <c r="A27" s="13"/>
      <c r="B27" s="14"/>
      <c r="C27" s="15"/>
      <c r="D27" s="17"/>
      <c r="E27" s="17"/>
      <c r="F27" s="17"/>
      <c r="G27" s="17"/>
      <c r="H27" s="17"/>
      <c r="I27" s="17"/>
      <c r="J27" s="17"/>
      <c r="K27" s="17"/>
    </row>
    <row r="28">
      <c r="A28" s="13"/>
      <c r="B28" s="14"/>
      <c r="C28" s="15"/>
      <c r="D28" s="17"/>
      <c r="E28" s="17"/>
      <c r="F28" s="17"/>
      <c r="G28" s="17"/>
      <c r="H28" s="17"/>
      <c r="I28" s="17"/>
      <c r="J28" s="17"/>
      <c r="K28" s="17"/>
    </row>
    <row r="29">
      <c r="A29" s="8" t="s">
        <v>27</v>
      </c>
      <c r="B29" s="9" t="s">
        <v>28</v>
      </c>
      <c r="C29" s="10">
        <v>8.0</v>
      </c>
      <c r="D29" s="11"/>
      <c r="E29" s="11">
        <f>COUNTIFS(gest!A:A,A29,gest!B:B,"&gt;="&amp;DATE(YEAR(TODAY()),1,1),gest!B:B,"&lt;="&amp;TODAY())</f>
        <v>0</v>
      </c>
      <c r="F29" s="11"/>
      <c r="G29" s="11"/>
      <c r="H29" s="11"/>
      <c r="I29" s="11"/>
      <c r="J29" s="11"/>
      <c r="K29" s="1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8"/>
      <c r="B30" s="19"/>
      <c r="C30" s="20"/>
      <c r="D30" s="16">
        <f>IFERROR(__xludf.DUMMYFUNCTION("FILTER(gest!B:C,(gest!A:A=A29)*(YEAR(gest!B:B)=YEAR(TODAY())))"),46203.0)</f>
        <v>46203</v>
      </c>
      <c r="E30" s="21"/>
      <c r="F30" s="21"/>
      <c r="G30" s="21"/>
      <c r="H30" s="21"/>
      <c r="I30" s="21"/>
      <c r="J30" s="21"/>
      <c r="K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>
      <c r="A31" s="18"/>
      <c r="B31" s="19"/>
      <c r="C31" s="20"/>
      <c r="D31" s="23">
        <f>IFERROR(__xludf.DUMMYFUNCTION("""COMPUTED_VALUE"""),46203.0)</f>
        <v>46203</v>
      </c>
      <c r="E31" s="21"/>
      <c r="F31" s="21"/>
      <c r="G31" s="21"/>
      <c r="H31" s="21"/>
      <c r="I31" s="21"/>
      <c r="J31" s="21"/>
      <c r="K31" s="21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>
      <c r="A32" s="18"/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>
      <c r="A34" s="18"/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>
      <c r="A35" s="18"/>
      <c r="B35" s="19"/>
      <c r="C35" s="20"/>
      <c r="D35" s="21"/>
      <c r="E35" s="21"/>
      <c r="F35" s="21"/>
      <c r="G35" s="21"/>
      <c r="H35" s="21"/>
      <c r="I35" s="21"/>
      <c r="J35" s="21"/>
      <c r="K35" s="21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>
      <c r="A36" s="18"/>
      <c r="B36" s="19"/>
      <c r="C36" s="20"/>
      <c r="D36" s="21"/>
      <c r="E36" s="21"/>
      <c r="F36" s="21"/>
      <c r="G36" s="21"/>
      <c r="H36" s="21"/>
      <c r="I36" s="21"/>
      <c r="J36" s="21"/>
      <c r="K36" s="21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>
      <c r="A37" s="18"/>
      <c r="B37" s="19"/>
      <c r="C37" s="20"/>
      <c r="D37" s="21"/>
      <c r="E37" s="21"/>
      <c r="F37" s="21"/>
      <c r="G37" s="21"/>
      <c r="H37" s="21"/>
      <c r="I37" s="21"/>
      <c r="J37" s="21"/>
      <c r="K37" s="2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>
      <c r="A38" s="18"/>
      <c r="B38" s="19"/>
      <c r="C38" s="20"/>
      <c r="D38" s="21"/>
      <c r="E38" s="21"/>
      <c r="F38" s="21"/>
      <c r="G38" s="21"/>
      <c r="H38" s="21"/>
      <c r="I38" s="21"/>
      <c r="J38" s="21"/>
      <c r="K38" s="2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>
      <c r="A39" s="8" t="s">
        <v>29</v>
      </c>
      <c r="B39" s="9" t="s">
        <v>30</v>
      </c>
      <c r="C39" s="10">
        <v>8.0</v>
      </c>
      <c r="D39" s="11"/>
      <c r="E39" s="11">
        <f>COUNTIFS(gest!A:A,A39,gest!B:B,"&gt;="&amp;DATE(YEAR(TODAY()),1,1),gest!B:B,"&lt;="&amp;TODAY())</f>
        <v>0</v>
      </c>
      <c r="F39" s="11"/>
      <c r="G39" s="11"/>
      <c r="H39" s="11"/>
      <c r="I39" s="11"/>
      <c r="J39" s="11"/>
      <c r="K39" s="1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3"/>
      <c r="B40" s="14"/>
      <c r="C40" s="15"/>
      <c r="D40" s="16" t="str">
        <f>IFERROR(__xludf.DUMMYFUNCTION("FILTER(gest!B:C,(gest!A:A=A39)*(YEAR(gest!B:B)=YEAR(TODAY())))"),"#N/A")</f>
        <v>#N/A</v>
      </c>
      <c r="E40" s="17"/>
      <c r="F40" s="17"/>
      <c r="G40" s="17"/>
      <c r="H40" s="17"/>
      <c r="I40" s="17"/>
      <c r="J40" s="17"/>
      <c r="K40" s="17"/>
    </row>
    <row r="41">
      <c r="A41" s="13"/>
      <c r="B41" s="14"/>
      <c r="C41" s="15"/>
      <c r="D41" s="17"/>
      <c r="E41" s="17"/>
      <c r="F41" s="17"/>
      <c r="G41" s="17"/>
      <c r="H41" s="17"/>
      <c r="I41" s="17"/>
      <c r="J41" s="17"/>
      <c r="K41" s="17"/>
    </row>
    <row r="42">
      <c r="A42" s="13"/>
      <c r="B42" s="14"/>
      <c r="C42" s="15"/>
      <c r="D42" s="17"/>
      <c r="E42" s="17"/>
      <c r="F42" s="17"/>
      <c r="G42" s="17"/>
      <c r="H42" s="17"/>
      <c r="I42" s="17"/>
      <c r="J42" s="17"/>
      <c r="K42" s="17"/>
    </row>
    <row r="43">
      <c r="A43" s="13"/>
      <c r="B43" s="14"/>
      <c r="C43" s="15"/>
      <c r="D43" s="17"/>
      <c r="E43" s="17"/>
      <c r="F43" s="17"/>
      <c r="G43" s="17"/>
      <c r="H43" s="17"/>
      <c r="I43" s="17"/>
      <c r="J43" s="17"/>
      <c r="K43" s="17"/>
    </row>
    <row r="44">
      <c r="A44" s="13"/>
      <c r="B44" s="14"/>
      <c r="C44" s="15"/>
      <c r="D44" s="17"/>
      <c r="E44" s="17"/>
      <c r="F44" s="17"/>
      <c r="G44" s="17"/>
      <c r="H44" s="17"/>
      <c r="I44" s="17"/>
      <c r="J44" s="17"/>
      <c r="K44" s="17"/>
    </row>
    <row r="45">
      <c r="A45" s="13"/>
      <c r="B45" s="14"/>
      <c r="C45" s="15"/>
      <c r="D45" s="17"/>
      <c r="E45" s="17"/>
      <c r="F45" s="17"/>
      <c r="G45" s="17"/>
      <c r="H45" s="17"/>
      <c r="I45" s="17"/>
      <c r="J45" s="17"/>
      <c r="K45" s="17"/>
    </row>
    <row r="46">
      <c r="A46" s="13"/>
      <c r="B46" s="14"/>
      <c r="C46" s="15"/>
      <c r="D46" s="17"/>
      <c r="E46" s="17"/>
      <c r="F46" s="17"/>
      <c r="G46" s="17"/>
      <c r="H46" s="17"/>
      <c r="I46" s="17"/>
      <c r="J46" s="17"/>
      <c r="K46" s="17"/>
    </row>
    <row r="47">
      <c r="A47" s="13"/>
      <c r="B47" s="14"/>
      <c r="C47" s="15"/>
      <c r="D47" s="17"/>
      <c r="E47" s="17"/>
      <c r="F47" s="17"/>
      <c r="G47" s="17"/>
      <c r="H47" s="17"/>
      <c r="I47" s="17"/>
      <c r="J47" s="17"/>
      <c r="K47" s="17"/>
    </row>
    <row r="48">
      <c r="A48" s="13"/>
      <c r="B48" s="14"/>
      <c r="C48" s="15"/>
      <c r="D48" s="17"/>
      <c r="E48" s="17"/>
      <c r="F48" s="17"/>
      <c r="G48" s="17"/>
      <c r="H48" s="17"/>
      <c r="I48" s="17"/>
      <c r="J48" s="17"/>
      <c r="K48" s="17"/>
    </row>
    <row r="49">
      <c r="A49" s="8" t="s">
        <v>31</v>
      </c>
      <c r="B49" s="9" t="s">
        <v>32</v>
      </c>
      <c r="C49" s="10">
        <v>8.0</v>
      </c>
      <c r="D49" s="11"/>
      <c r="E49" s="11">
        <f>COUNTIFS(gest!A:A,A49,gest!B:B,"&gt;="&amp;DATE(YEAR(TODAY()),1,1),gest!B:B,"&lt;="&amp;TODAY())</f>
        <v>10</v>
      </c>
      <c r="F49" s="11"/>
      <c r="G49" s="11"/>
      <c r="H49" s="11"/>
      <c r="I49" s="11"/>
      <c r="J49" s="11"/>
      <c r="K49" s="11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B50" s="24"/>
      <c r="C50" s="17"/>
      <c r="D50" s="16">
        <f>IFERROR(__xludf.DUMMYFUNCTION("FILTER(gest!B:C,(gest!A:A=A49)*(YEAR(gest!B:B)=YEAR(TODAY())))"),46083.0)</f>
        <v>46083</v>
      </c>
      <c r="E50" s="17" t="str">
        <f>IFERROR(__xludf.DUMMYFUNCTION("""COMPUTED_VALUE"""),"0")</f>
        <v>0</v>
      </c>
      <c r="F50" s="17"/>
      <c r="G50" s="17"/>
      <c r="H50" s="17"/>
      <c r="I50" s="17"/>
      <c r="J50" s="17"/>
      <c r="K50" s="17"/>
    </row>
    <row r="51">
      <c r="A51" s="14"/>
      <c r="B51" s="14"/>
      <c r="C51" s="17"/>
      <c r="D51" s="16">
        <f>IFERROR(__xludf.DUMMYFUNCTION("""COMPUTED_VALUE"""),46084.0)</f>
        <v>46084</v>
      </c>
      <c r="E51" s="17"/>
      <c r="F51" s="17"/>
      <c r="G51" s="17"/>
      <c r="H51" s="17"/>
      <c r="I51" s="17"/>
      <c r="J51" s="17"/>
      <c r="K51" s="17"/>
    </row>
    <row r="52">
      <c r="A52" s="14"/>
      <c r="B52" s="14"/>
      <c r="C52" s="17"/>
      <c r="D52" s="16">
        <f>IFERROR(__xludf.DUMMYFUNCTION("""COMPUTED_VALUE"""),46085.0)</f>
        <v>46085</v>
      </c>
      <c r="E52" s="17" t="str">
        <f>IFERROR(__xludf.DUMMYFUNCTION("""COMPUTED_VALUE"""),"5")</f>
        <v>5</v>
      </c>
      <c r="F52" s="17"/>
      <c r="G52" s="17"/>
      <c r="H52" s="17"/>
      <c r="I52" s="17"/>
      <c r="J52" s="17"/>
      <c r="K52" s="17"/>
    </row>
    <row r="53">
      <c r="A53" s="14"/>
      <c r="B53" s="14"/>
      <c r="C53" s="17"/>
      <c r="D53" s="16">
        <f>IFERROR(__xludf.DUMMYFUNCTION("""COMPUTED_VALUE"""),46086.0)</f>
        <v>46086</v>
      </c>
      <c r="E53" s="17" t="str">
        <f>IFERROR(__xludf.DUMMYFUNCTION("""COMPUTED_VALUE"""),"10")</f>
        <v>10</v>
      </c>
      <c r="F53" s="17"/>
      <c r="G53" s="17"/>
      <c r="H53" s="17"/>
      <c r="I53" s="17"/>
      <c r="J53" s="17"/>
      <c r="K53" s="17"/>
    </row>
    <row r="54">
      <c r="A54" s="14"/>
      <c r="B54" s="14"/>
      <c r="C54" s="17"/>
      <c r="D54" s="16">
        <f>IFERROR(__xludf.DUMMYFUNCTION("""COMPUTED_VALUE"""),46087.0)</f>
        <v>46087</v>
      </c>
      <c r="E54" s="17" t="str">
        <f>IFERROR(__xludf.DUMMYFUNCTION("""COMPUTED_VALUE"""),"8")</f>
        <v>8</v>
      </c>
      <c r="F54" s="17"/>
      <c r="G54" s="17"/>
      <c r="H54" s="17"/>
      <c r="I54" s="17"/>
      <c r="J54" s="17"/>
      <c r="K54" s="17"/>
    </row>
    <row r="55">
      <c r="A55" s="14"/>
      <c r="B55" s="14"/>
      <c r="C55" s="17"/>
      <c r="D55" s="16">
        <f>IFERROR(__xludf.DUMMYFUNCTION("""COMPUTED_VALUE"""),46090.0)</f>
        <v>46090</v>
      </c>
      <c r="E55" s="17" t="str">
        <f>IFERROR(__xludf.DUMMYFUNCTION("""COMPUTED_VALUE"""),"5")</f>
        <v>5</v>
      </c>
      <c r="F55" s="17"/>
      <c r="G55" s="17"/>
      <c r="H55" s="17"/>
      <c r="I55" s="17"/>
      <c r="J55" s="17"/>
      <c r="K55" s="17"/>
    </row>
    <row r="56">
      <c r="A56" s="14"/>
      <c r="B56" s="14"/>
      <c r="C56" s="17"/>
      <c r="D56" s="16">
        <f>IFERROR(__xludf.DUMMYFUNCTION("""COMPUTED_VALUE"""),46091.0)</f>
        <v>46091</v>
      </c>
      <c r="E56" s="17"/>
      <c r="F56" s="17"/>
      <c r="G56" s="17"/>
      <c r="H56" s="17"/>
      <c r="I56" s="17"/>
      <c r="J56" s="17"/>
      <c r="K56" s="17"/>
    </row>
    <row r="57">
      <c r="A57" s="14"/>
      <c r="B57" s="14"/>
      <c r="C57" s="17"/>
      <c r="D57" s="16">
        <f>IFERROR(__xludf.DUMMYFUNCTION("""COMPUTED_VALUE"""),46092.0)</f>
        <v>46092</v>
      </c>
      <c r="E57" s="17" t="str">
        <f>IFERROR(__xludf.DUMMYFUNCTION("""COMPUTED_VALUE"""),"10")</f>
        <v>10</v>
      </c>
      <c r="F57" s="17"/>
      <c r="G57" s="17"/>
      <c r="H57" s="17"/>
      <c r="I57" s="17"/>
      <c r="J57" s="17"/>
      <c r="K57" s="17"/>
    </row>
    <row r="58">
      <c r="A58" s="14"/>
      <c r="B58" s="14"/>
      <c r="C58" s="17"/>
      <c r="D58" s="16">
        <f>IFERROR(__xludf.DUMMYFUNCTION("""COMPUTED_VALUE"""),46093.0)</f>
        <v>46093</v>
      </c>
      <c r="E58" s="17"/>
      <c r="F58" s="17"/>
      <c r="G58" s="17"/>
      <c r="H58" s="17"/>
      <c r="I58" s="17"/>
      <c r="J58" s="17"/>
      <c r="K58" s="17"/>
    </row>
    <row r="59">
      <c r="A59" s="14"/>
      <c r="B59" s="14"/>
      <c r="C59" s="17"/>
      <c r="D59" s="16">
        <f>IFERROR(__xludf.DUMMYFUNCTION("""COMPUTED_VALUE"""),46093.0)</f>
        <v>46093</v>
      </c>
      <c r="E59" s="17"/>
      <c r="F59" s="17"/>
      <c r="G59" s="17"/>
      <c r="H59" s="17"/>
      <c r="I59" s="17"/>
      <c r="J59" s="17"/>
      <c r="K59" s="17"/>
    </row>
    <row r="60">
      <c r="A60" s="14"/>
      <c r="B60" s="14"/>
      <c r="C60" s="17"/>
      <c r="D60" s="17"/>
      <c r="E60" s="17"/>
      <c r="F60" s="17"/>
      <c r="G60" s="17"/>
      <c r="H60" s="17"/>
      <c r="I60" s="17"/>
      <c r="J60" s="17"/>
      <c r="K60" s="17"/>
    </row>
    <row r="61">
      <c r="A61" s="25" t="s">
        <v>33</v>
      </c>
      <c r="B61" s="25" t="s">
        <v>33</v>
      </c>
      <c r="C61" s="6"/>
      <c r="D61" s="6"/>
      <c r="E61" s="6"/>
      <c r="F61" s="6"/>
      <c r="G61" s="6"/>
      <c r="H61" s="6"/>
      <c r="I61" s="6"/>
      <c r="J61" s="6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>
      <c r="A62" s="13" t="s">
        <v>34</v>
      </c>
      <c r="B62" s="26" t="s">
        <v>35</v>
      </c>
      <c r="C62" s="27">
        <v>23.0</v>
      </c>
      <c r="D62" s="17"/>
      <c r="E62" s="17">
        <f>SUM(E63:E64)</f>
        <v>15</v>
      </c>
      <c r="F62" s="17"/>
      <c r="G62" s="17"/>
      <c r="H62" s="17"/>
      <c r="I62" s="17"/>
      <c r="J62" s="17"/>
      <c r="K62" s="17"/>
    </row>
    <row r="63">
      <c r="A63" s="13" t="s">
        <v>36</v>
      </c>
      <c r="B63" s="28" t="s">
        <v>37</v>
      </c>
      <c r="C63" s="15">
        <v>10.0</v>
      </c>
      <c r="D63" s="17"/>
      <c r="E63" s="17">
        <f>IFERROR(__xludf.DUMMYFUNCTION("IMPORTRANGE(""https://docs.google.com/spreadsheets/d/1qH75nopdqebmsXi99R6n0ZSfkSWO3wqoz2qnUvKnI0w/edit?gid=1285399262#gid=1285399262"",""res!c6:c7"")"),6.0)</f>
        <v>6</v>
      </c>
      <c r="F63" s="17"/>
      <c r="G63" s="17"/>
      <c r="H63" s="17"/>
      <c r="I63" s="17"/>
      <c r="J63" s="17"/>
      <c r="K63" s="17"/>
    </row>
    <row r="64">
      <c r="A64" s="13"/>
      <c r="B64" s="28" t="s">
        <v>38</v>
      </c>
      <c r="C64" s="15">
        <v>13.0</v>
      </c>
      <c r="D64" s="17"/>
      <c r="E64" s="17">
        <f>IFERROR(__xludf.DUMMYFUNCTION("""COMPUTED_VALUE"""),9.0)</f>
        <v>9</v>
      </c>
      <c r="F64" s="17"/>
      <c r="G64" s="17"/>
      <c r="H64" s="17"/>
      <c r="I64" s="17"/>
      <c r="J64" s="17"/>
      <c r="K64" s="17"/>
    </row>
    <row r="65">
      <c r="A65" s="29"/>
      <c r="B65" s="26"/>
      <c r="C65" s="17"/>
      <c r="D65" s="17"/>
      <c r="E65" s="17"/>
      <c r="F65" s="17"/>
      <c r="G65" s="17"/>
      <c r="H65" s="17"/>
      <c r="I65" s="17"/>
      <c r="J65" s="17"/>
      <c r="K65" s="17"/>
    </row>
    <row r="66">
      <c r="A66" s="30" t="s">
        <v>39</v>
      </c>
      <c r="B66" s="31" t="s">
        <v>40</v>
      </c>
      <c r="C66" s="32">
        <v>37.0</v>
      </c>
      <c r="D66" s="33"/>
      <c r="E66" s="34">
        <f>SUM(E67:E68)</f>
        <v>28</v>
      </c>
      <c r="F66" s="31"/>
      <c r="G66" s="32"/>
      <c r="H66" s="33"/>
      <c r="I66" s="31"/>
      <c r="J66" s="32"/>
      <c r="K66" s="33"/>
      <c r="L66" s="31"/>
      <c r="M66" s="32"/>
      <c r="N66" s="33"/>
      <c r="O66" s="31"/>
      <c r="P66" s="32"/>
      <c r="Q66" s="33"/>
      <c r="R66" s="31"/>
      <c r="S66" s="32"/>
      <c r="T66" s="33"/>
      <c r="U66" s="31"/>
      <c r="V66" s="32"/>
      <c r="W66" s="33"/>
      <c r="X66" s="31"/>
      <c r="Y66" s="32"/>
      <c r="Z66" s="33"/>
      <c r="AA66" s="31"/>
      <c r="AB66" s="32"/>
      <c r="AC66" s="33"/>
      <c r="AD66" s="31"/>
      <c r="AE66" s="32"/>
    </row>
    <row r="67">
      <c r="A67" s="13" t="s">
        <v>41</v>
      </c>
      <c r="B67" s="14" t="s">
        <v>42</v>
      </c>
      <c r="C67" s="15">
        <v>19.0</v>
      </c>
      <c r="D67" s="17"/>
      <c r="E67" s="15">
        <v>12.0</v>
      </c>
      <c r="F67" s="17"/>
      <c r="G67" s="17"/>
      <c r="H67" s="17"/>
      <c r="I67" s="17"/>
      <c r="J67" s="17"/>
      <c r="K67" s="17"/>
    </row>
    <row r="68">
      <c r="A68" s="13"/>
      <c r="B68" s="14" t="s">
        <v>43</v>
      </c>
      <c r="C68" s="15">
        <v>18.0</v>
      </c>
      <c r="D68" s="17"/>
      <c r="E68" s="15">
        <v>16.0</v>
      </c>
      <c r="F68" s="17"/>
      <c r="G68" s="17"/>
      <c r="H68" s="17"/>
      <c r="I68" s="17"/>
      <c r="J68" s="17"/>
      <c r="K68" s="17"/>
    </row>
    <row r="69">
      <c r="A69" s="13"/>
      <c r="B69" s="24"/>
      <c r="C69" s="17"/>
      <c r="D69" s="17"/>
      <c r="E69" s="17"/>
      <c r="F69" s="17"/>
      <c r="G69" s="17"/>
      <c r="H69" s="17"/>
      <c r="I69" s="17"/>
      <c r="J69" s="17"/>
      <c r="K69" s="17"/>
    </row>
    <row r="70">
      <c r="A70" s="30" t="s">
        <v>44</v>
      </c>
      <c r="B70" s="31" t="s">
        <v>45</v>
      </c>
      <c r="C70" s="32">
        <v>105.0</v>
      </c>
      <c r="D70" s="11"/>
      <c r="E70" s="35">
        <f>SUM(E71:E72)</f>
        <v>51</v>
      </c>
      <c r="F70" s="11"/>
      <c r="G70" s="11"/>
      <c r="H70" s="11"/>
      <c r="I70" s="11"/>
      <c r="J70" s="11"/>
      <c r="K70" s="1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3" t="s">
        <v>46</v>
      </c>
      <c r="B71" s="14" t="s">
        <v>47</v>
      </c>
      <c r="C71" s="15">
        <v>75.0</v>
      </c>
      <c r="E71" s="36">
        <f>SUM(oper!C3:N3)</f>
        <v>13</v>
      </c>
      <c r="F71" s="17"/>
      <c r="G71" s="17"/>
      <c r="H71" s="17"/>
      <c r="I71" s="17"/>
      <c r="J71" s="17"/>
      <c r="K71" s="17"/>
    </row>
    <row r="72">
      <c r="A72" s="13"/>
      <c r="B72" s="14" t="s">
        <v>48</v>
      </c>
      <c r="C72" s="15">
        <v>30.0</v>
      </c>
      <c r="E72" s="36">
        <f>SUM(oper!C2:N2)</f>
        <v>38</v>
      </c>
      <c r="F72" s="17"/>
      <c r="G72" s="17"/>
      <c r="H72" s="17"/>
      <c r="I72" s="17"/>
      <c r="J72" s="17"/>
      <c r="K72" s="17"/>
    </row>
    <row r="73">
      <c r="A73" s="29"/>
      <c r="B73" s="24"/>
      <c r="C73" s="17"/>
      <c r="D73" s="17"/>
      <c r="E73" s="17"/>
      <c r="F73" s="17"/>
      <c r="G73" s="17"/>
      <c r="H73" s="17"/>
      <c r="I73" s="17"/>
      <c r="J73" s="17"/>
      <c r="K73" s="17"/>
    </row>
    <row r="74">
      <c r="A74" s="30" t="s">
        <v>49</v>
      </c>
      <c r="B74" s="31" t="s">
        <v>50</v>
      </c>
      <c r="C74" s="37">
        <v>0.43</v>
      </c>
      <c r="D74" s="33"/>
      <c r="E74" s="38">
        <f>oper!F8</f>
        <v>0.11</v>
      </c>
      <c r="F74" s="31"/>
      <c r="G74" s="32"/>
      <c r="H74" s="33"/>
      <c r="I74" s="31"/>
      <c r="J74" s="32"/>
      <c r="K74" s="33"/>
      <c r="L74" s="31"/>
      <c r="M74" s="32"/>
      <c r="N74" s="33"/>
      <c r="O74" s="31"/>
      <c r="P74" s="32"/>
      <c r="Q74" s="33"/>
      <c r="R74" s="31"/>
      <c r="S74" s="32"/>
      <c r="T74" s="33"/>
      <c r="U74" s="31"/>
      <c r="V74" s="32"/>
      <c r="W74" s="33"/>
      <c r="X74" s="31"/>
      <c r="Y74" s="32"/>
      <c r="Z74" s="33"/>
      <c r="AA74" s="31"/>
      <c r="AB74" s="32"/>
      <c r="AC74" s="33"/>
      <c r="AD74" s="31"/>
      <c r="AE74" s="32"/>
    </row>
    <row r="75">
      <c r="A75" s="13" t="s">
        <v>46</v>
      </c>
      <c r="B75" s="14" t="s">
        <v>51</v>
      </c>
      <c r="C75" s="15">
        <v>18.0</v>
      </c>
      <c r="D75" s="17"/>
      <c r="E75" s="17">
        <f>oper!D8</f>
        <v>4</v>
      </c>
      <c r="F75" s="17"/>
      <c r="G75" s="17"/>
      <c r="H75" s="17"/>
      <c r="I75" s="17"/>
      <c r="J75" s="17"/>
      <c r="K75" s="17"/>
    </row>
    <row r="76">
      <c r="A76" s="13"/>
      <c r="B76" s="14" t="s">
        <v>52</v>
      </c>
      <c r="C76" s="15">
        <v>10.0</v>
      </c>
      <c r="D76" s="17"/>
      <c r="E76" s="17">
        <f>oper!E8</f>
        <v>3</v>
      </c>
      <c r="F76" s="17"/>
      <c r="G76" s="17"/>
      <c r="H76" s="17"/>
      <c r="I76" s="17"/>
      <c r="J76" s="17"/>
      <c r="K76" s="17"/>
    </row>
    <row r="77">
      <c r="A77" s="13"/>
      <c r="B77" s="14" t="s">
        <v>53</v>
      </c>
      <c r="C77" s="15">
        <v>56.0</v>
      </c>
      <c r="D77" s="17"/>
      <c r="E77" s="17">
        <f>oper!C8</f>
        <v>11</v>
      </c>
      <c r="F77" s="17"/>
      <c r="G77" s="17"/>
      <c r="H77" s="17"/>
      <c r="I77" s="17"/>
      <c r="J77" s="17"/>
      <c r="K77" s="17"/>
    </row>
    <row r="78">
      <c r="A78" s="29"/>
      <c r="B78" s="24"/>
      <c r="C78" s="17"/>
      <c r="D78" s="17"/>
      <c r="E78" s="17"/>
      <c r="F78" s="17"/>
      <c r="G78" s="17"/>
      <c r="H78" s="17"/>
      <c r="I78" s="17"/>
      <c r="J78" s="17"/>
      <c r="K78" s="17"/>
    </row>
    <row r="79">
      <c r="A79" s="30" t="s">
        <v>54</v>
      </c>
      <c r="B79" s="31" t="s">
        <v>55</v>
      </c>
      <c r="C79" s="32">
        <v>2.0</v>
      </c>
      <c r="D79" s="33"/>
      <c r="E79" s="34">
        <v>1.0</v>
      </c>
      <c r="F79" s="31"/>
      <c r="G79" s="32"/>
      <c r="H79" s="33"/>
      <c r="I79" s="31"/>
      <c r="J79" s="32"/>
      <c r="K79" s="33"/>
      <c r="L79" s="31"/>
      <c r="M79" s="32"/>
      <c r="N79" s="33"/>
      <c r="O79" s="31"/>
      <c r="P79" s="32"/>
      <c r="Q79" s="33"/>
      <c r="R79" s="31"/>
      <c r="S79" s="32"/>
      <c r="T79" s="33"/>
      <c r="U79" s="31"/>
      <c r="V79" s="32"/>
      <c r="W79" s="33"/>
      <c r="X79" s="31"/>
      <c r="Y79" s="32"/>
      <c r="Z79" s="33"/>
      <c r="AA79" s="31"/>
      <c r="AB79" s="32"/>
      <c r="AC79" s="33"/>
      <c r="AD79" s="31"/>
      <c r="AE79" s="32"/>
    </row>
    <row r="80">
      <c r="A80" s="29"/>
      <c r="B80" s="24"/>
      <c r="C80" s="17"/>
      <c r="D80" s="17"/>
      <c r="E80" s="17"/>
      <c r="F80" s="17"/>
      <c r="G80" s="17"/>
      <c r="H80" s="17"/>
      <c r="I80" s="17"/>
      <c r="J80" s="17"/>
      <c r="K80" s="17"/>
    </row>
    <row r="81">
      <c r="A81" s="29"/>
      <c r="B81" s="24"/>
      <c r="C81" s="17"/>
      <c r="D81" s="17"/>
      <c r="E81" s="17"/>
      <c r="F81" s="17"/>
      <c r="G81" s="17"/>
      <c r="H81" s="17"/>
      <c r="I81" s="17"/>
      <c r="J81" s="17"/>
      <c r="K81" s="17"/>
    </row>
    <row r="82">
      <c r="A82" s="29"/>
      <c r="B82" s="24"/>
      <c r="C82" s="17"/>
      <c r="D82" s="17"/>
      <c r="E82" s="17"/>
      <c r="F82" s="17"/>
      <c r="G82" s="17"/>
      <c r="H82" s="17"/>
      <c r="I82" s="17"/>
      <c r="J82" s="17"/>
      <c r="K82" s="17"/>
    </row>
    <row r="83">
      <c r="A83" s="29"/>
      <c r="B83" s="24"/>
      <c r="C83" s="17"/>
      <c r="D83" s="17"/>
      <c r="E83" s="17"/>
      <c r="F83" s="17"/>
      <c r="G83" s="17"/>
      <c r="H83" s="17"/>
      <c r="I83" s="17"/>
      <c r="J83" s="17"/>
      <c r="K83" s="17"/>
    </row>
    <row r="84">
      <c r="A84" s="29"/>
      <c r="B84" s="24"/>
      <c r="C84" s="17"/>
      <c r="E84" s="17"/>
      <c r="F84" s="17"/>
      <c r="G84" s="17"/>
      <c r="H84" s="17"/>
      <c r="I84" s="17"/>
      <c r="J84" s="17"/>
      <c r="K84" s="17"/>
    </row>
    <row r="85">
      <c r="A85" s="39" t="s">
        <v>56</v>
      </c>
      <c r="B85" s="40"/>
      <c r="C85" s="41"/>
      <c r="D85" s="41"/>
      <c r="E85" s="41"/>
      <c r="F85" s="41"/>
      <c r="G85" s="41"/>
      <c r="H85" s="41"/>
      <c r="I85" s="41"/>
      <c r="J85" s="41"/>
      <c r="K85" s="41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</row>
    <row r="86">
      <c r="A86" s="43" t="str">
        <f>IFERROR(__xludf.DUMMYFUNCTION("FILTER(prog!E:E,INT(prog!A:A)=TODAY())"),"Solicitar apoio logístico para Erandir - reunião do FCCBH (PROCOMITÊ)")</f>
        <v>Solicitar apoio logístico para Erandir - reunião do FCCBH (PROCOMITÊ)</v>
      </c>
      <c r="B86" s="24"/>
      <c r="C86" s="17"/>
      <c r="D86" s="17"/>
      <c r="E86" s="17"/>
      <c r="F86" s="17"/>
      <c r="G86" s="17"/>
      <c r="H86" s="17"/>
      <c r="I86" s="17"/>
      <c r="J86" s="17"/>
      <c r="K86" s="17"/>
    </row>
    <row r="87">
      <c r="A87" s="43" t="str">
        <f>IFERROR(__xludf.DUMMYFUNCTION("""COMPUTED_VALUE"""),"Publicação de aniversário de Raimundo Ribeiro Sales")</f>
        <v>Publicação de aniversário de Raimundo Ribeiro Sales</v>
      </c>
      <c r="B87" s="24"/>
      <c r="C87" s="17"/>
      <c r="D87" s="17"/>
      <c r="E87" s="17"/>
      <c r="F87" s="17"/>
      <c r="G87" s="17"/>
      <c r="H87" s="17"/>
      <c r="I87" s="17"/>
      <c r="J87" s="17"/>
      <c r="K87" s="17"/>
    </row>
    <row r="88">
      <c r="A88" s="43" t="str">
        <f>IFERROR(__xludf.DUMMYFUNCTION("""COMPUTED_VALUE"""),"Mobilização para 75ª Reunião Ordinária (Morrinhos/Santana do Acaraú/Amontada)")</f>
        <v>Mobilização para 75ª Reunião Ordinária (Morrinhos/Santana do Acaraú/Amontada)</v>
      </c>
      <c r="B88" s="24"/>
      <c r="C88" s="17"/>
      <c r="D88" s="17"/>
      <c r="E88" s="17"/>
      <c r="F88" s="17"/>
      <c r="G88" s="17"/>
      <c r="H88" s="17"/>
      <c r="I88" s="17"/>
      <c r="J88" s="17"/>
      <c r="K88" s="17"/>
    </row>
    <row r="89">
      <c r="A89" s="43" t="str">
        <f>IFERROR(__xludf.DUMMYFUNCTION("""COMPUTED_VALUE"""),"Providenciar atividades programadas para o mês de julho")</f>
        <v>Providenciar atividades programadas para o mês de julho</v>
      </c>
      <c r="B89" s="24"/>
      <c r="C89" s="17"/>
      <c r="D89" s="17"/>
      <c r="E89" s="17"/>
      <c r="F89" s="17"/>
      <c r="G89" s="17"/>
      <c r="H89" s="17"/>
      <c r="I89" s="17"/>
      <c r="J89" s="17"/>
      <c r="K89" s="17"/>
    </row>
    <row r="90">
      <c r="A90" s="43" t="str">
        <f>IFERROR(__xludf.DUMMYFUNCTION("""COMPUTED_VALUE"""),"Inspeção de Segurança e Medição de Vazão (Patos e Santo Antonio de Aracatiaçu)")</f>
        <v>Inspeção de Segurança e Medição de Vazão (Patos e Santo Antonio de Aracatiaçu)</v>
      </c>
      <c r="B90" s="24"/>
      <c r="C90" s="17"/>
      <c r="D90" s="17"/>
      <c r="E90" s="17"/>
      <c r="F90" s="17"/>
      <c r="G90" s="17"/>
      <c r="H90" s="17"/>
      <c r="I90" s="17"/>
      <c r="J90" s="17"/>
      <c r="K90" s="17"/>
    </row>
    <row r="91">
      <c r="A91" s="29"/>
      <c r="B91" s="24"/>
      <c r="C91" s="17"/>
      <c r="D91" s="17"/>
      <c r="E91" s="17"/>
      <c r="F91" s="17"/>
      <c r="G91" s="17"/>
      <c r="H91" s="17"/>
      <c r="I91" s="17"/>
      <c r="J91" s="17"/>
      <c r="K91" s="17"/>
    </row>
    <row r="92">
      <c r="A92" s="29"/>
      <c r="B92" s="24"/>
      <c r="C92" s="17"/>
      <c r="D92" s="17"/>
      <c r="E92" s="17"/>
      <c r="F92" s="17"/>
      <c r="G92" s="17"/>
      <c r="H92" s="17"/>
      <c r="I92" s="17"/>
      <c r="J92" s="17"/>
      <c r="K92" s="17"/>
    </row>
    <row r="93">
      <c r="A93" s="29"/>
      <c r="B93" s="24"/>
      <c r="C93" s="17"/>
      <c r="D93" s="17"/>
      <c r="E93" s="17"/>
      <c r="F93" s="17"/>
      <c r="G93" s="17"/>
      <c r="H93" s="17"/>
      <c r="I93" s="17"/>
      <c r="J93" s="17"/>
      <c r="K93" s="17"/>
    </row>
    <row r="94">
      <c r="A94" s="29"/>
      <c r="B94" s="24"/>
      <c r="C94" s="17"/>
      <c r="D94" s="17"/>
      <c r="E94" s="17"/>
      <c r="F94" s="17"/>
      <c r="G94" s="17"/>
      <c r="H94" s="17"/>
      <c r="I94" s="17"/>
      <c r="J94" s="17"/>
      <c r="K94" s="17"/>
    </row>
    <row r="95">
      <c r="A95" s="29"/>
      <c r="B95" s="24"/>
      <c r="C95" s="17"/>
      <c r="D95" s="17"/>
      <c r="E95" s="17"/>
      <c r="F95" s="17"/>
      <c r="G95" s="17"/>
      <c r="H95" s="17"/>
      <c r="I95" s="17"/>
      <c r="J95" s="17"/>
      <c r="K95" s="17"/>
    </row>
    <row r="96">
      <c r="A96" s="29"/>
      <c r="B96" s="24"/>
      <c r="C96" s="17"/>
      <c r="D96" s="17"/>
      <c r="E96" s="17"/>
      <c r="F96" s="17"/>
      <c r="G96" s="17"/>
      <c r="H96" s="17"/>
      <c r="I96" s="17"/>
      <c r="J96" s="17"/>
      <c r="K96" s="17"/>
    </row>
    <row r="97">
      <c r="A97" s="29"/>
      <c r="B97" s="24"/>
      <c r="C97" s="17"/>
      <c r="D97" s="17"/>
      <c r="E97" s="17"/>
      <c r="F97" s="17"/>
      <c r="G97" s="17"/>
      <c r="H97" s="17"/>
      <c r="I97" s="17"/>
      <c r="J97" s="17"/>
      <c r="K97" s="17"/>
    </row>
    <row r="98">
      <c r="A98" s="29"/>
      <c r="B98" s="24"/>
      <c r="C98" s="17"/>
      <c r="D98" s="17"/>
      <c r="E98" s="17"/>
      <c r="F98" s="17"/>
      <c r="G98" s="17"/>
      <c r="H98" s="17"/>
      <c r="I98" s="17"/>
      <c r="J98" s="17"/>
      <c r="K98" s="17"/>
    </row>
    <row r="99">
      <c r="A99" s="39" t="s">
        <v>57</v>
      </c>
      <c r="B99" s="44" t="s">
        <v>58</v>
      </c>
      <c r="C99" s="45" t="s">
        <v>59</v>
      </c>
      <c r="D99" s="41"/>
      <c r="E99" s="41"/>
      <c r="F99" s="41"/>
      <c r="G99" s="41"/>
      <c r="H99" s="41"/>
      <c r="I99" s="41"/>
      <c r="J99" s="41"/>
      <c r="K99" s="41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</row>
    <row r="100">
      <c r="A100" s="29" t="str">
        <f>'açudes'!A1</f>
        <v>GAMELEIRA</v>
      </c>
      <c r="B100" s="46">
        <f>'açudes'!I1</f>
        <v>27.86</v>
      </c>
      <c r="C100" s="47">
        <f>'açudes'!J1</f>
        <v>99.78</v>
      </c>
      <c r="D100" s="17"/>
      <c r="E100" s="17"/>
      <c r="F100" s="17"/>
      <c r="G100" s="17"/>
      <c r="H100" s="17"/>
      <c r="I100" s="17"/>
      <c r="J100" s="17"/>
      <c r="K100" s="17"/>
    </row>
    <row r="101">
      <c r="A101" s="29" t="str">
        <f>'açudes'!A2</f>
        <v>MISSI</v>
      </c>
      <c r="B101" s="46">
        <f>'açudes'!I2</f>
        <v>54.37</v>
      </c>
      <c r="C101" s="47">
        <f>'açudes'!J2</f>
        <v>100</v>
      </c>
      <c r="D101" s="17"/>
      <c r="E101" s="17"/>
      <c r="F101" s="17"/>
      <c r="G101" s="17"/>
      <c r="H101" s="17"/>
      <c r="I101" s="17"/>
      <c r="J101" s="17"/>
      <c r="K101" s="17"/>
    </row>
    <row r="102">
      <c r="A102" s="29" t="str">
        <f>'açudes'!A3</f>
        <v>POÇO VERDE</v>
      </c>
      <c r="B102" s="46">
        <f>'açudes'!I3</f>
        <v>13.34</v>
      </c>
      <c r="C102" s="47">
        <f>'açudes'!J3</f>
        <v>100</v>
      </c>
      <c r="D102" s="17"/>
      <c r="E102" s="17"/>
      <c r="F102" s="17"/>
      <c r="G102" s="17"/>
      <c r="H102" s="17"/>
      <c r="I102" s="17"/>
      <c r="J102" s="17"/>
      <c r="K102" s="17"/>
    </row>
    <row r="103">
      <c r="A103" s="29" t="str">
        <f>'açudes'!A4</f>
        <v>MUNDAÚ</v>
      </c>
      <c r="B103" s="46">
        <f>'açudes'!I4</f>
        <v>21.3</v>
      </c>
      <c r="C103" s="47">
        <f>'açudes'!J4</f>
        <v>100</v>
      </c>
      <c r="D103" s="17"/>
      <c r="E103" s="17"/>
      <c r="F103" s="17"/>
      <c r="G103" s="17"/>
      <c r="H103" s="17"/>
      <c r="I103" s="17"/>
      <c r="J103" s="17"/>
      <c r="K103" s="17"/>
    </row>
    <row r="104">
      <c r="A104" s="29" t="str">
        <f>'açudes'!A5</f>
        <v>QUANDÚ</v>
      </c>
      <c r="B104" s="46">
        <f>'açudes'!I5</f>
        <v>2.45</v>
      </c>
      <c r="C104" s="47">
        <f>'açudes'!J5</f>
        <v>100</v>
      </c>
      <c r="D104" s="17"/>
      <c r="E104" s="17"/>
      <c r="F104" s="17"/>
      <c r="G104" s="17"/>
      <c r="H104" s="17"/>
      <c r="I104" s="17"/>
      <c r="J104" s="17"/>
      <c r="K104" s="17"/>
    </row>
    <row r="105">
      <c r="A105" s="29" t="str">
        <f>'açudes'!A6</f>
        <v>S. PEDRO TIMBAÚBA</v>
      </c>
      <c r="B105" s="46">
        <f>'açudes'!I6</f>
        <v>15.77</v>
      </c>
      <c r="C105" s="47">
        <f>'açudes'!J6</f>
        <v>100</v>
      </c>
      <c r="D105" s="17"/>
      <c r="E105" s="17"/>
      <c r="F105" s="17"/>
      <c r="G105" s="17"/>
      <c r="H105" s="17"/>
      <c r="I105" s="17"/>
      <c r="J105" s="17"/>
      <c r="K105" s="17"/>
    </row>
    <row r="106">
      <c r="A106" s="29" t="str">
        <f>'açudes'!A7</f>
        <v>STO. ANTÔNIO DE ARACATIAÇU</v>
      </c>
      <c r="B106" s="46">
        <f>'açudes'!I7</f>
        <v>26.88</v>
      </c>
      <c r="C106" s="47">
        <f>'açudes'!J7</f>
        <v>93.74</v>
      </c>
      <c r="D106" s="17"/>
      <c r="E106" s="17"/>
      <c r="F106" s="17"/>
      <c r="G106" s="17"/>
      <c r="H106" s="17"/>
      <c r="I106" s="17"/>
      <c r="J106" s="17"/>
      <c r="K106" s="17"/>
    </row>
    <row r="107">
      <c r="A107" s="29" t="str">
        <f>'açudes'!A8</f>
        <v>PATOS</v>
      </c>
      <c r="B107" s="46">
        <f>'açudes'!I8</f>
        <v>6.87</v>
      </c>
      <c r="C107" s="47">
        <f>'açudes'!J8</f>
        <v>90.94</v>
      </c>
      <c r="D107" s="17"/>
      <c r="E107" s="17"/>
      <c r="F107" s="17"/>
      <c r="G107" s="17"/>
      <c r="H107" s="17"/>
      <c r="I107" s="17"/>
      <c r="J107" s="17"/>
      <c r="K107" s="17"/>
    </row>
    <row r="108">
      <c r="A108" s="29" t="str">
        <f>'açudes'!A9</f>
        <v/>
      </c>
      <c r="B108" s="24"/>
      <c r="C108" s="17"/>
      <c r="D108" s="17"/>
      <c r="E108" s="17"/>
      <c r="F108" s="17"/>
      <c r="G108" s="17"/>
      <c r="H108" s="17"/>
      <c r="I108" s="17"/>
      <c r="J108" s="17"/>
      <c r="K108" s="17"/>
    </row>
    <row r="109">
      <c r="A109" s="29"/>
      <c r="B109" s="24"/>
      <c r="C109" s="17"/>
      <c r="D109" s="17"/>
      <c r="E109" s="17"/>
      <c r="F109" s="17"/>
      <c r="G109" s="17"/>
      <c r="H109" s="17"/>
      <c r="I109" s="17"/>
      <c r="J109" s="17"/>
      <c r="K109" s="17"/>
    </row>
    <row r="110">
      <c r="A110" s="29"/>
      <c r="B110" s="24"/>
      <c r="C110" s="17"/>
      <c r="D110" s="17"/>
      <c r="E110" s="17"/>
      <c r="F110" s="17"/>
      <c r="G110" s="17"/>
      <c r="H110" s="17"/>
      <c r="I110" s="17"/>
      <c r="J110" s="17"/>
      <c r="K110" s="17"/>
    </row>
    <row r="111">
      <c r="A111" s="29"/>
      <c r="B111" s="24"/>
      <c r="C111" s="17"/>
      <c r="D111" s="17"/>
      <c r="E111" s="17"/>
      <c r="F111" s="17"/>
      <c r="G111" s="17"/>
      <c r="H111" s="17"/>
      <c r="I111" s="17"/>
      <c r="J111" s="17"/>
      <c r="K111" s="17"/>
    </row>
    <row r="112">
      <c r="A112" s="29"/>
      <c r="B112" s="24"/>
      <c r="C112" s="17"/>
      <c r="D112" s="17"/>
      <c r="E112" s="17"/>
      <c r="F112" s="17"/>
      <c r="G112" s="17"/>
      <c r="H112" s="17"/>
      <c r="I112" s="17"/>
      <c r="J112" s="17"/>
      <c r="K112" s="17"/>
    </row>
    <row r="113">
      <c r="A113" s="29"/>
      <c r="B113" s="24"/>
      <c r="C113" s="17"/>
      <c r="D113" s="17"/>
      <c r="E113" s="17"/>
      <c r="F113" s="17"/>
      <c r="G113" s="17"/>
      <c r="H113" s="17"/>
      <c r="I113" s="17"/>
      <c r="J113" s="17"/>
      <c r="K113" s="17"/>
    </row>
    <row r="114">
      <c r="A114" s="29"/>
      <c r="B114" s="24"/>
      <c r="C114" s="17"/>
      <c r="D114" s="17"/>
      <c r="E114" s="17"/>
      <c r="F114" s="17"/>
      <c r="G114" s="17"/>
      <c r="H114" s="17"/>
      <c r="I114" s="17"/>
      <c r="J114" s="17"/>
      <c r="K114" s="17"/>
    </row>
    <row r="115">
      <c r="A115" s="29"/>
      <c r="B115" s="24"/>
      <c r="C115" s="17"/>
      <c r="D115" s="17"/>
      <c r="E115" s="17"/>
      <c r="F115" s="17"/>
      <c r="G115" s="17"/>
      <c r="H115" s="17"/>
      <c r="I115" s="17"/>
      <c r="J115" s="17"/>
      <c r="K115" s="17"/>
    </row>
    <row r="116">
      <c r="A116" s="29"/>
      <c r="B116" s="24"/>
      <c r="C116" s="17"/>
      <c r="D116" s="17"/>
      <c r="E116" s="17"/>
      <c r="F116" s="17"/>
      <c r="G116" s="17"/>
      <c r="H116" s="17"/>
      <c r="I116" s="17"/>
      <c r="J116" s="17"/>
      <c r="K116" s="17"/>
    </row>
    <row r="117">
      <c r="A117" s="29"/>
      <c r="B117" s="24"/>
      <c r="C117" s="17"/>
      <c r="D117" s="17"/>
      <c r="E117" s="17"/>
      <c r="F117" s="17"/>
      <c r="G117" s="17"/>
      <c r="H117" s="17"/>
      <c r="I117" s="17"/>
      <c r="J117" s="17"/>
      <c r="K117" s="17"/>
    </row>
    <row r="118">
      <c r="A118" s="29"/>
      <c r="B118" s="24"/>
      <c r="C118" s="17"/>
      <c r="D118" s="17"/>
      <c r="E118" s="17"/>
      <c r="F118" s="17"/>
      <c r="G118" s="17"/>
      <c r="H118" s="17"/>
      <c r="I118" s="17"/>
      <c r="J118" s="17"/>
      <c r="K118" s="17"/>
    </row>
    <row r="119">
      <c r="A119" s="29"/>
      <c r="B119" s="24"/>
      <c r="C119" s="17"/>
      <c r="D119" s="17"/>
      <c r="E119" s="17"/>
      <c r="F119" s="17"/>
      <c r="G119" s="17"/>
      <c r="H119" s="17"/>
      <c r="I119" s="17"/>
      <c r="J119" s="17"/>
      <c r="K119" s="17"/>
    </row>
    <row r="120">
      <c r="A120" s="29"/>
      <c r="B120" s="24"/>
      <c r="C120" s="17"/>
      <c r="D120" s="17"/>
      <c r="E120" s="17"/>
      <c r="F120" s="17"/>
      <c r="G120" s="17"/>
      <c r="H120" s="17"/>
      <c r="I120" s="17"/>
      <c r="J120" s="17"/>
      <c r="K120" s="17"/>
    </row>
    <row r="121">
      <c r="A121" s="29"/>
      <c r="B121" s="24"/>
      <c r="C121" s="17"/>
      <c r="D121" s="17"/>
      <c r="E121" s="17"/>
      <c r="F121" s="17"/>
      <c r="G121" s="17"/>
      <c r="H121" s="17"/>
      <c r="I121" s="17"/>
      <c r="J121" s="17"/>
      <c r="K121" s="17"/>
    </row>
    <row r="122">
      <c r="A122" s="29"/>
      <c r="B122" s="24"/>
      <c r="C122" s="17"/>
      <c r="D122" s="17"/>
      <c r="E122" s="17"/>
      <c r="F122" s="17"/>
      <c r="G122" s="17"/>
      <c r="H122" s="17"/>
      <c r="I122" s="17"/>
      <c r="J122" s="17"/>
      <c r="K122" s="17"/>
    </row>
    <row r="123">
      <c r="A123" s="29"/>
      <c r="B123" s="24"/>
      <c r="C123" s="17"/>
      <c r="D123" s="17"/>
      <c r="E123" s="17"/>
      <c r="F123" s="17"/>
      <c r="G123" s="17"/>
      <c r="H123" s="17"/>
      <c r="I123" s="17"/>
      <c r="J123" s="17"/>
      <c r="K123" s="17"/>
    </row>
    <row r="124">
      <c r="A124" s="29"/>
      <c r="B124" s="24"/>
      <c r="C124" s="17"/>
      <c r="D124" s="17"/>
      <c r="E124" s="17"/>
      <c r="F124" s="17"/>
      <c r="G124" s="17"/>
      <c r="H124" s="17"/>
      <c r="I124" s="17"/>
      <c r="J124" s="17"/>
      <c r="K124" s="17"/>
    </row>
    <row r="125">
      <c r="A125" s="29"/>
      <c r="B125" s="24"/>
      <c r="C125" s="17"/>
      <c r="D125" s="17"/>
      <c r="E125" s="17"/>
      <c r="F125" s="17"/>
      <c r="G125" s="17"/>
      <c r="H125" s="17"/>
      <c r="I125" s="17"/>
      <c r="J125" s="17"/>
      <c r="K125" s="17"/>
    </row>
    <row r="126">
      <c r="A126" s="29"/>
      <c r="B126" s="24"/>
      <c r="C126" s="17"/>
      <c r="D126" s="17"/>
      <c r="E126" s="17"/>
      <c r="F126" s="17"/>
      <c r="G126" s="17"/>
      <c r="H126" s="17"/>
      <c r="I126" s="17"/>
      <c r="J126" s="17"/>
      <c r="K126" s="17"/>
    </row>
    <row r="127">
      <c r="A127" s="29"/>
      <c r="B127" s="24"/>
      <c r="C127" s="17"/>
      <c r="D127" s="17"/>
      <c r="E127" s="17"/>
      <c r="F127" s="17"/>
      <c r="G127" s="17"/>
      <c r="H127" s="17"/>
      <c r="I127" s="17"/>
      <c r="J127" s="17"/>
      <c r="K127" s="17"/>
    </row>
    <row r="128">
      <c r="A128" s="29"/>
      <c r="B128" s="24"/>
      <c r="C128" s="17"/>
      <c r="D128" s="17"/>
      <c r="E128" s="17"/>
      <c r="F128" s="17"/>
      <c r="G128" s="17"/>
      <c r="H128" s="17"/>
      <c r="I128" s="17"/>
      <c r="J128" s="17"/>
      <c r="K128" s="17"/>
    </row>
    <row r="129">
      <c r="A129" s="29"/>
      <c r="B129" s="24"/>
      <c r="C129" s="17"/>
      <c r="D129" s="17"/>
      <c r="E129" s="17"/>
      <c r="F129" s="17"/>
      <c r="G129" s="17"/>
      <c r="H129" s="17"/>
      <c r="I129" s="17"/>
      <c r="J129" s="17"/>
      <c r="K129" s="17"/>
    </row>
    <row r="130">
      <c r="A130" s="29"/>
      <c r="B130" s="24"/>
      <c r="C130" s="17"/>
      <c r="D130" s="17"/>
      <c r="E130" s="17"/>
      <c r="F130" s="17"/>
      <c r="G130" s="17"/>
      <c r="H130" s="17"/>
      <c r="I130" s="17"/>
      <c r="J130" s="17"/>
      <c r="K130" s="17"/>
    </row>
    <row r="131">
      <c r="A131" s="29"/>
      <c r="B131" s="24"/>
      <c r="C131" s="17"/>
      <c r="D131" s="17"/>
      <c r="E131" s="17"/>
      <c r="F131" s="17"/>
      <c r="G131" s="17"/>
      <c r="H131" s="17"/>
      <c r="I131" s="17"/>
      <c r="J131" s="17"/>
      <c r="K131" s="17"/>
    </row>
    <row r="132">
      <c r="A132" s="29"/>
      <c r="B132" s="24"/>
      <c r="C132" s="17"/>
      <c r="D132" s="17"/>
      <c r="E132" s="17"/>
      <c r="F132" s="17"/>
      <c r="G132" s="17"/>
      <c r="H132" s="17"/>
      <c r="I132" s="17"/>
      <c r="J132" s="17"/>
      <c r="K132" s="17"/>
    </row>
    <row r="133">
      <c r="A133" s="29"/>
      <c r="B133" s="24"/>
      <c r="C133" s="17"/>
      <c r="D133" s="17"/>
      <c r="E133" s="17"/>
      <c r="F133" s="17"/>
      <c r="G133" s="17"/>
      <c r="H133" s="17"/>
      <c r="I133" s="17"/>
      <c r="J133" s="17"/>
      <c r="K133" s="17"/>
    </row>
    <row r="134">
      <c r="A134" s="29"/>
      <c r="B134" s="24"/>
      <c r="C134" s="17"/>
      <c r="D134" s="17"/>
      <c r="E134" s="17"/>
      <c r="F134" s="17"/>
      <c r="G134" s="17"/>
      <c r="H134" s="17"/>
      <c r="I134" s="17"/>
      <c r="J134" s="17"/>
      <c r="K134" s="17"/>
    </row>
    <row r="135">
      <c r="A135" s="29"/>
      <c r="B135" s="24"/>
      <c r="C135" s="17"/>
      <c r="D135" s="17"/>
      <c r="E135" s="17"/>
      <c r="F135" s="17"/>
      <c r="G135" s="17"/>
      <c r="H135" s="17"/>
      <c r="I135" s="17"/>
      <c r="J135" s="17"/>
      <c r="K135" s="17"/>
    </row>
    <row r="136">
      <c r="A136" s="29"/>
      <c r="B136" s="24"/>
      <c r="C136" s="17"/>
      <c r="D136" s="17"/>
      <c r="E136" s="17"/>
      <c r="F136" s="17"/>
      <c r="G136" s="17"/>
      <c r="H136" s="17"/>
      <c r="I136" s="17"/>
      <c r="J136" s="17"/>
      <c r="K136" s="17"/>
    </row>
    <row r="137">
      <c r="A137" s="29"/>
      <c r="B137" s="24"/>
      <c r="C137" s="17"/>
      <c r="D137" s="17"/>
      <c r="E137" s="17"/>
      <c r="F137" s="17"/>
      <c r="G137" s="17"/>
      <c r="H137" s="17"/>
      <c r="I137" s="17"/>
      <c r="J137" s="17"/>
      <c r="K137" s="17"/>
    </row>
    <row r="138">
      <c r="A138" s="29"/>
      <c r="B138" s="24"/>
      <c r="C138" s="17"/>
      <c r="D138" s="17"/>
      <c r="E138" s="17"/>
      <c r="F138" s="17"/>
      <c r="G138" s="17"/>
      <c r="H138" s="17"/>
      <c r="I138" s="17"/>
      <c r="J138" s="17"/>
      <c r="K138" s="17"/>
    </row>
    <row r="139">
      <c r="A139" s="29"/>
      <c r="B139" s="24"/>
      <c r="C139" s="17"/>
      <c r="D139" s="17"/>
      <c r="E139" s="17"/>
      <c r="F139" s="17"/>
      <c r="G139" s="17"/>
      <c r="H139" s="17"/>
      <c r="I139" s="17"/>
      <c r="J139" s="17"/>
      <c r="K139" s="17"/>
    </row>
    <row r="140">
      <c r="A140" s="29"/>
      <c r="B140" s="24"/>
      <c r="C140" s="17"/>
      <c r="D140" s="17"/>
      <c r="E140" s="17"/>
      <c r="F140" s="17"/>
      <c r="G140" s="17"/>
      <c r="H140" s="17"/>
      <c r="I140" s="17"/>
      <c r="J140" s="17"/>
      <c r="K140" s="17"/>
    </row>
    <row r="141">
      <c r="A141" s="29"/>
      <c r="B141" s="24"/>
      <c r="C141" s="17"/>
      <c r="D141" s="17"/>
      <c r="E141" s="17"/>
      <c r="F141" s="17"/>
      <c r="G141" s="17"/>
      <c r="H141" s="17"/>
      <c r="I141" s="17"/>
      <c r="J141" s="17"/>
      <c r="K141" s="17"/>
    </row>
    <row r="142">
      <c r="A142" s="29"/>
      <c r="B142" s="24"/>
      <c r="C142" s="17"/>
      <c r="D142" s="17"/>
      <c r="E142" s="17"/>
      <c r="F142" s="17"/>
      <c r="G142" s="17"/>
      <c r="H142" s="17"/>
      <c r="I142" s="17"/>
      <c r="J142" s="17"/>
      <c r="K142" s="17"/>
    </row>
    <row r="143">
      <c r="A143" s="29"/>
      <c r="B143" s="24"/>
      <c r="C143" s="17"/>
      <c r="D143" s="17"/>
      <c r="E143" s="17"/>
      <c r="F143" s="17"/>
      <c r="G143" s="17"/>
      <c r="H143" s="17"/>
      <c r="I143" s="17"/>
      <c r="J143" s="17"/>
      <c r="K143" s="17"/>
    </row>
    <row r="144">
      <c r="A144" s="29"/>
      <c r="B144" s="24"/>
      <c r="C144" s="17"/>
      <c r="D144" s="17"/>
      <c r="E144" s="17"/>
      <c r="F144" s="17"/>
      <c r="G144" s="17"/>
      <c r="H144" s="17"/>
      <c r="I144" s="17"/>
      <c r="J144" s="17"/>
      <c r="K144" s="17"/>
    </row>
    <row r="145">
      <c r="A145" s="29"/>
      <c r="B145" s="24"/>
      <c r="C145" s="17"/>
      <c r="D145" s="17"/>
      <c r="E145" s="17"/>
      <c r="F145" s="17"/>
      <c r="G145" s="17"/>
      <c r="H145" s="17"/>
      <c r="I145" s="17"/>
      <c r="J145" s="17"/>
      <c r="K145" s="17"/>
    </row>
    <row r="146">
      <c r="A146" s="29"/>
      <c r="B146" s="24"/>
      <c r="C146" s="17"/>
      <c r="D146" s="17"/>
      <c r="E146" s="17"/>
      <c r="F146" s="17"/>
      <c r="G146" s="17"/>
      <c r="H146" s="17"/>
      <c r="I146" s="17"/>
      <c r="J146" s="17"/>
      <c r="K146" s="17"/>
    </row>
    <row r="147">
      <c r="A147" s="29"/>
      <c r="B147" s="24"/>
      <c r="C147" s="17"/>
      <c r="D147" s="17"/>
      <c r="E147" s="17"/>
      <c r="F147" s="17"/>
      <c r="G147" s="17"/>
      <c r="H147" s="17"/>
      <c r="I147" s="17"/>
      <c r="J147" s="17"/>
      <c r="K147" s="17"/>
    </row>
    <row r="148">
      <c r="A148" s="29"/>
      <c r="B148" s="24"/>
      <c r="C148" s="17"/>
      <c r="D148" s="17"/>
      <c r="E148" s="17"/>
      <c r="F148" s="17"/>
      <c r="G148" s="17"/>
      <c r="H148" s="17"/>
      <c r="I148" s="17"/>
      <c r="J148" s="17"/>
      <c r="K148" s="17"/>
    </row>
    <row r="149">
      <c r="A149" s="29"/>
      <c r="B149" s="24"/>
      <c r="C149" s="17"/>
      <c r="D149" s="17"/>
      <c r="E149" s="17"/>
      <c r="F149" s="17"/>
      <c r="G149" s="17"/>
      <c r="H149" s="17"/>
      <c r="I149" s="17"/>
      <c r="J149" s="17"/>
      <c r="K149" s="17"/>
    </row>
    <row r="150">
      <c r="A150" s="29"/>
      <c r="B150" s="24"/>
      <c r="C150" s="17"/>
      <c r="D150" s="17"/>
      <c r="E150" s="17"/>
      <c r="F150" s="17"/>
      <c r="G150" s="17"/>
      <c r="H150" s="17"/>
      <c r="I150" s="17"/>
      <c r="J150" s="17"/>
      <c r="K150" s="17"/>
    </row>
    <row r="151">
      <c r="A151" s="29"/>
      <c r="B151" s="24"/>
      <c r="C151" s="17"/>
      <c r="D151" s="17"/>
      <c r="E151" s="17"/>
      <c r="F151" s="17"/>
      <c r="G151" s="17"/>
      <c r="H151" s="17"/>
      <c r="I151" s="17"/>
      <c r="J151" s="17"/>
      <c r="K151" s="17"/>
    </row>
    <row r="152">
      <c r="A152" s="29"/>
      <c r="B152" s="24"/>
      <c r="C152" s="17"/>
      <c r="D152" s="17"/>
      <c r="E152" s="17"/>
      <c r="F152" s="17"/>
      <c r="G152" s="17"/>
      <c r="H152" s="17"/>
      <c r="I152" s="17"/>
      <c r="J152" s="17"/>
      <c r="K152" s="17"/>
    </row>
    <row r="153">
      <c r="A153" s="29"/>
      <c r="B153" s="24"/>
      <c r="C153" s="17"/>
      <c r="D153" s="17"/>
      <c r="E153" s="17"/>
      <c r="F153" s="17"/>
      <c r="G153" s="17"/>
      <c r="H153" s="17"/>
      <c r="I153" s="17"/>
      <c r="J153" s="17"/>
      <c r="K153" s="17"/>
    </row>
    <row r="154">
      <c r="A154" s="29"/>
      <c r="B154" s="24"/>
      <c r="C154" s="17"/>
      <c r="D154" s="17"/>
      <c r="E154" s="17"/>
      <c r="F154" s="17"/>
      <c r="G154" s="17"/>
      <c r="H154" s="17"/>
      <c r="I154" s="17"/>
      <c r="J154" s="17"/>
      <c r="K154" s="17"/>
    </row>
    <row r="155">
      <c r="A155" s="29"/>
      <c r="B155" s="24"/>
      <c r="C155" s="17"/>
      <c r="D155" s="17"/>
      <c r="E155" s="17"/>
      <c r="F155" s="17"/>
      <c r="G155" s="17"/>
      <c r="H155" s="17"/>
      <c r="I155" s="17"/>
      <c r="J155" s="17"/>
      <c r="K155" s="17"/>
    </row>
    <row r="156">
      <c r="A156" s="29"/>
      <c r="B156" s="24"/>
      <c r="C156" s="17"/>
      <c r="D156" s="17"/>
      <c r="E156" s="17"/>
      <c r="F156" s="17"/>
      <c r="G156" s="17"/>
      <c r="H156" s="17"/>
      <c r="I156" s="17"/>
      <c r="J156" s="17"/>
      <c r="K156" s="17"/>
    </row>
    <row r="157">
      <c r="A157" s="29"/>
      <c r="B157" s="24"/>
      <c r="C157" s="17"/>
      <c r="D157" s="17"/>
      <c r="E157" s="17"/>
      <c r="F157" s="17"/>
      <c r="G157" s="17"/>
      <c r="H157" s="17"/>
      <c r="I157" s="17"/>
      <c r="J157" s="17"/>
      <c r="K157" s="17"/>
    </row>
    <row r="158">
      <c r="A158" s="29"/>
      <c r="B158" s="24"/>
      <c r="C158" s="17"/>
      <c r="D158" s="17"/>
      <c r="E158" s="17"/>
      <c r="F158" s="17"/>
      <c r="G158" s="17"/>
      <c r="H158" s="17"/>
      <c r="I158" s="17"/>
      <c r="J158" s="17"/>
      <c r="K158" s="17"/>
    </row>
    <row r="159">
      <c r="A159" s="29"/>
      <c r="B159" s="24"/>
      <c r="C159" s="17"/>
      <c r="D159" s="17"/>
      <c r="E159" s="17"/>
      <c r="F159" s="17"/>
      <c r="G159" s="17"/>
      <c r="H159" s="17"/>
      <c r="I159" s="17"/>
      <c r="J159" s="17"/>
      <c r="K159" s="17"/>
    </row>
    <row r="160">
      <c r="A160" s="29"/>
      <c r="B160" s="24"/>
      <c r="C160" s="17"/>
      <c r="D160" s="17"/>
      <c r="E160" s="17"/>
      <c r="F160" s="17"/>
      <c r="G160" s="17"/>
      <c r="H160" s="17"/>
      <c r="I160" s="17"/>
      <c r="J160" s="17"/>
      <c r="K160" s="17"/>
    </row>
    <row r="161">
      <c r="A161" s="29"/>
      <c r="B161" s="24"/>
      <c r="C161" s="17"/>
      <c r="D161" s="17"/>
      <c r="E161" s="17"/>
      <c r="F161" s="17"/>
      <c r="G161" s="17"/>
      <c r="H161" s="17"/>
      <c r="I161" s="17"/>
      <c r="J161" s="17"/>
      <c r="K161" s="17"/>
    </row>
    <row r="162">
      <c r="A162" s="29"/>
      <c r="B162" s="24"/>
      <c r="C162" s="17"/>
      <c r="D162" s="17"/>
      <c r="E162" s="17"/>
      <c r="F162" s="17"/>
      <c r="G162" s="17"/>
      <c r="H162" s="17"/>
      <c r="I162" s="17"/>
      <c r="J162" s="17"/>
      <c r="K162" s="17"/>
    </row>
    <row r="163">
      <c r="A163" s="29"/>
      <c r="B163" s="24"/>
      <c r="C163" s="17"/>
      <c r="D163" s="17"/>
      <c r="E163" s="17"/>
      <c r="F163" s="17"/>
      <c r="G163" s="17"/>
      <c r="H163" s="17"/>
      <c r="I163" s="17"/>
      <c r="J163" s="17"/>
      <c r="K163" s="17"/>
    </row>
    <row r="164">
      <c r="A164" s="29"/>
      <c r="B164" s="24"/>
      <c r="C164" s="17"/>
      <c r="D164" s="17"/>
      <c r="E164" s="17"/>
      <c r="F164" s="17"/>
      <c r="G164" s="17"/>
      <c r="H164" s="17"/>
      <c r="I164" s="17"/>
      <c r="J164" s="17"/>
      <c r="K164" s="17"/>
    </row>
    <row r="165">
      <c r="A165" s="29"/>
      <c r="B165" s="24"/>
      <c r="C165" s="17"/>
      <c r="D165" s="17"/>
      <c r="E165" s="17"/>
      <c r="F165" s="17"/>
      <c r="G165" s="17"/>
      <c r="H165" s="17"/>
      <c r="I165" s="17"/>
      <c r="J165" s="17"/>
      <c r="K165" s="17"/>
    </row>
    <row r="166">
      <c r="A166" s="29"/>
      <c r="B166" s="24"/>
      <c r="C166" s="17"/>
      <c r="D166" s="17"/>
      <c r="E166" s="17"/>
      <c r="F166" s="17"/>
      <c r="G166" s="17"/>
      <c r="H166" s="17"/>
      <c r="I166" s="17"/>
      <c r="J166" s="17"/>
      <c r="K166" s="17"/>
    </row>
    <row r="167">
      <c r="A167" s="29"/>
      <c r="B167" s="24"/>
      <c r="C167" s="17"/>
      <c r="D167" s="17"/>
      <c r="E167" s="17"/>
      <c r="F167" s="17"/>
      <c r="G167" s="17"/>
      <c r="H167" s="17"/>
      <c r="I167" s="17"/>
      <c r="J167" s="17"/>
      <c r="K167" s="17"/>
    </row>
    <row r="168">
      <c r="A168" s="29"/>
      <c r="B168" s="24"/>
      <c r="C168" s="17"/>
      <c r="D168" s="17"/>
      <c r="E168" s="17"/>
      <c r="F168" s="17"/>
      <c r="G168" s="17"/>
      <c r="H168" s="17"/>
      <c r="I168" s="17"/>
      <c r="J168" s="17"/>
      <c r="K168" s="17"/>
    </row>
    <row r="169">
      <c r="A169" s="29"/>
      <c r="B169" s="24"/>
      <c r="C169" s="17"/>
      <c r="D169" s="17"/>
      <c r="E169" s="17"/>
      <c r="F169" s="17"/>
      <c r="G169" s="17"/>
      <c r="H169" s="17"/>
      <c r="I169" s="17"/>
      <c r="J169" s="17"/>
      <c r="K169" s="17"/>
    </row>
    <row r="170">
      <c r="A170" s="29"/>
      <c r="B170" s="24"/>
      <c r="C170" s="17"/>
      <c r="D170" s="17"/>
      <c r="E170" s="17"/>
      <c r="F170" s="17"/>
      <c r="G170" s="17"/>
      <c r="H170" s="17"/>
      <c r="I170" s="17"/>
      <c r="J170" s="17"/>
      <c r="K170" s="17"/>
    </row>
    <row r="171">
      <c r="A171" s="29"/>
      <c r="B171" s="24"/>
      <c r="C171" s="17"/>
      <c r="D171" s="17"/>
      <c r="E171" s="17"/>
      <c r="F171" s="17"/>
      <c r="G171" s="17"/>
      <c r="H171" s="17"/>
      <c r="I171" s="17"/>
      <c r="J171" s="17"/>
      <c r="K171" s="17"/>
    </row>
    <row r="172">
      <c r="A172" s="29"/>
      <c r="B172" s="24"/>
      <c r="C172" s="17"/>
      <c r="D172" s="17"/>
      <c r="E172" s="17"/>
      <c r="F172" s="17"/>
      <c r="G172" s="17"/>
      <c r="H172" s="17"/>
      <c r="I172" s="17"/>
      <c r="J172" s="17"/>
      <c r="K172" s="17"/>
    </row>
    <row r="173">
      <c r="A173" s="29"/>
      <c r="B173" s="24"/>
      <c r="C173" s="17"/>
      <c r="D173" s="17"/>
      <c r="E173" s="17"/>
      <c r="F173" s="17"/>
      <c r="G173" s="17"/>
      <c r="H173" s="17"/>
      <c r="I173" s="17"/>
      <c r="J173" s="17"/>
      <c r="K173" s="17"/>
    </row>
    <row r="174">
      <c r="A174" s="29"/>
      <c r="B174" s="24"/>
      <c r="C174" s="17"/>
      <c r="D174" s="17"/>
      <c r="E174" s="17"/>
      <c r="F174" s="17"/>
      <c r="G174" s="17"/>
      <c r="H174" s="17"/>
      <c r="I174" s="17"/>
      <c r="J174" s="17"/>
      <c r="K174" s="17"/>
    </row>
    <row r="175">
      <c r="A175" s="29"/>
      <c r="B175" s="24"/>
      <c r="C175" s="17"/>
      <c r="D175" s="17"/>
      <c r="E175" s="17"/>
      <c r="F175" s="17"/>
      <c r="G175" s="17"/>
      <c r="H175" s="17"/>
      <c r="I175" s="17"/>
      <c r="J175" s="17"/>
      <c r="K175" s="17"/>
    </row>
    <row r="176">
      <c r="A176" s="29"/>
      <c r="B176" s="24"/>
      <c r="C176" s="17"/>
      <c r="D176" s="17"/>
      <c r="E176" s="17"/>
      <c r="F176" s="17"/>
      <c r="G176" s="17"/>
      <c r="H176" s="17"/>
      <c r="I176" s="17"/>
      <c r="J176" s="17"/>
      <c r="K176" s="17"/>
    </row>
    <row r="177">
      <c r="A177" s="29"/>
      <c r="B177" s="24"/>
      <c r="C177" s="17"/>
      <c r="D177" s="17"/>
      <c r="E177" s="17"/>
      <c r="F177" s="17"/>
      <c r="G177" s="17"/>
      <c r="H177" s="17"/>
      <c r="I177" s="17"/>
      <c r="J177" s="17"/>
      <c r="K177" s="17"/>
    </row>
    <row r="178">
      <c r="A178" s="29"/>
      <c r="B178" s="24"/>
      <c r="C178" s="17"/>
      <c r="D178" s="17"/>
      <c r="E178" s="17"/>
      <c r="F178" s="17"/>
      <c r="G178" s="17"/>
      <c r="H178" s="17"/>
      <c r="I178" s="17"/>
      <c r="J178" s="17"/>
      <c r="K178" s="17"/>
    </row>
    <row r="179">
      <c r="A179" s="29"/>
      <c r="B179" s="24"/>
      <c r="C179" s="17"/>
      <c r="D179" s="17"/>
      <c r="E179" s="17"/>
      <c r="F179" s="17"/>
      <c r="G179" s="17"/>
      <c r="H179" s="17"/>
      <c r="I179" s="17"/>
      <c r="J179" s="17"/>
      <c r="K179" s="17"/>
    </row>
    <row r="180">
      <c r="A180" s="29"/>
      <c r="B180" s="24"/>
      <c r="C180" s="17"/>
      <c r="D180" s="17"/>
      <c r="E180" s="17"/>
      <c r="F180" s="17"/>
      <c r="G180" s="17"/>
      <c r="H180" s="17"/>
      <c r="I180" s="17"/>
      <c r="J180" s="17"/>
      <c r="K180" s="17"/>
    </row>
    <row r="181">
      <c r="A181" s="29"/>
      <c r="B181" s="24"/>
      <c r="C181" s="17"/>
      <c r="D181" s="17"/>
      <c r="E181" s="17"/>
      <c r="F181" s="17"/>
      <c r="G181" s="17"/>
      <c r="H181" s="17"/>
      <c r="I181" s="17"/>
      <c r="J181" s="17"/>
      <c r="K181" s="17"/>
    </row>
    <row r="182">
      <c r="A182" s="29"/>
      <c r="B182" s="24"/>
      <c r="C182" s="17"/>
      <c r="D182" s="17"/>
      <c r="E182" s="17"/>
      <c r="F182" s="17"/>
      <c r="G182" s="17"/>
      <c r="H182" s="17"/>
      <c r="I182" s="17"/>
      <c r="J182" s="17"/>
      <c r="K182" s="17"/>
    </row>
    <row r="183">
      <c r="A183" s="29"/>
      <c r="B183" s="24"/>
      <c r="C183" s="17"/>
      <c r="D183" s="17"/>
      <c r="E183" s="17"/>
      <c r="F183" s="17"/>
      <c r="G183" s="17"/>
      <c r="H183" s="17"/>
      <c r="I183" s="17"/>
      <c r="J183" s="17"/>
      <c r="K183" s="17"/>
    </row>
    <row r="184">
      <c r="A184" s="29"/>
      <c r="B184" s="24"/>
      <c r="C184" s="17"/>
      <c r="D184" s="17"/>
      <c r="E184" s="17"/>
      <c r="F184" s="17"/>
      <c r="G184" s="17"/>
      <c r="H184" s="17"/>
      <c r="I184" s="17"/>
      <c r="J184" s="17"/>
      <c r="K184" s="17"/>
    </row>
    <row r="185">
      <c r="A185" s="29"/>
      <c r="B185" s="24"/>
      <c r="C185" s="17"/>
      <c r="D185" s="17"/>
      <c r="E185" s="17"/>
      <c r="F185" s="17"/>
      <c r="G185" s="17"/>
      <c r="H185" s="17"/>
      <c r="I185" s="17"/>
      <c r="J185" s="17"/>
      <c r="K185" s="17"/>
    </row>
    <row r="186">
      <c r="A186" s="29"/>
      <c r="B186" s="24"/>
      <c r="C186" s="17"/>
      <c r="D186" s="17"/>
      <c r="E186" s="17"/>
      <c r="F186" s="17"/>
      <c r="G186" s="17"/>
      <c r="H186" s="17"/>
      <c r="I186" s="17"/>
      <c r="J186" s="17"/>
      <c r="K186" s="17"/>
    </row>
    <row r="187">
      <c r="A187" s="29"/>
      <c r="B187" s="24"/>
      <c r="C187" s="17"/>
      <c r="D187" s="17"/>
      <c r="E187" s="17"/>
      <c r="F187" s="17"/>
      <c r="G187" s="17"/>
      <c r="H187" s="17"/>
      <c r="I187" s="17"/>
      <c r="J187" s="17"/>
      <c r="K187" s="17"/>
    </row>
    <row r="188">
      <c r="A188" s="29"/>
      <c r="B188" s="24"/>
      <c r="C188" s="17"/>
      <c r="D188" s="17"/>
      <c r="E188" s="17"/>
      <c r="F188" s="17"/>
      <c r="G188" s="17"/>
      <c r="H188" s="17"/>
      <c r="I188" s="17"/>
      <c r="J188" s="17"/>
      <c r="K188" s="17"/>
    </row>
    <row r="189">
      <c r="A189" s="29"/>
      <c r="B189" s="24"/>
      <c r="C189" s="17"/>
      <c r="D189" s="17"/>
      <c r="E189" s="17"/>
      <c r="F189" s="17"/>
      <c r="G189" s="17"/>
      <c r="H189" s="17"/>
      <c r="I189" s="17"/>
      <c r="J189" s="17"/>
      <c r="K189" s="17"/>
    </row>
    <row r="190">
      <c r="A190" s="29"/>
      <c r="B190" s="24"/>
      <c r="C190" s="17"/>
      <c r="D190" s="17"/>
      <c r="E190" s="17"/>
      <c r="F190" s="17"/>
      <c r="G190" s="17"/>
      <c r="H190" s="17"/>
      <c r="I190" s="17"/>
      <c r="J190" s="17"/>
      <c r="K190" s="17"/>
    </row>
    <row r="191">
      <c r="A191" s="29"/>
      <c r="B191" s="24"/>
      <c r="C191" s="17"/>
      <c r="D191" s="17"/>
      <c r="E191" s="17"/>
      <c r="F191" s="17"/>
      <c r="G191" s="17"/>
      <c r="H191" s="17"/>
      <c r="I191" s="17"/>
      <c r="J191" s="17"/>
      <c r="K191" s="17"/>
    </row>
    <row r="192">
      <c r="A192" s="29"/>
      <c r="B192" s="24"/>
      <c r="C192" s="17"/>
      <c r="D192" s="17"/>
      <c r="E192" s="17"/>
      <c r="F192" s="17"/>
      <c r="G192" s="17"/>
      <c r="H192" s="17"/>
      <c r="I192" s="17"/>
      <c r="J192" s="17"/>
      <c r="K192" s="17"/>
    </row>
    <row r="193">
      <c r="A193" s="29"/>
      <c r="B193" s="24"/>
      <c r="C193" s="17"/>
      <c r="D193" s="17"/>
      <c r="E193" s="17"/>
      <c r="F193" s="17"/>
      <c r="G193" s="17"/>
      <c r="H193" s="17"/>
      <c r="I193" s="17"/>
      <c r="J193" s="17"/>
      <c r="K193" s="17"/>
    </row>
    <row r="194">
      <c r="A194" s="29"/>
      <c r="B194" s="24"/>
      <c r="C194" s="17"/>
      <c r="D194" s="17"/>
      <c r="E194" s="17"/>
      <c r="F194" s="17"/>
      <c r="G194" s="17"/>
      <c r="H194" s="17"/>
      <c r="I194" s="17"/>
      <c r="J194" s="17"/>
      <c r="K194" s="17"/>
    </row>
    <row r="195">
      <c r="A195" s="29"/>
      <c r="B195" s="24"/>
      <c r="C195" s="17"/>
      <c r="D195" s="17"/>
      <c r="E195" s="17"/>
      <c r="F195" s="17"/>
      <c r="G195" s="17"/>
      <c r="H195" s="17"/>
      <c r="I195" s="17"/>
      <c r="J195" s="17"/>
      <c r="K195" s="17"/>
    </row>
    <row r="196">
      <c r="A196" s="29"/>
      <c r="B196" s="24"/>
      <c r="C196" s="17"/>
      <c r="D196" s="17"/>
      <c r="E196" s="17"/>
      <c r="F196" s="17"/>
      <c r="G196" s="17"/>
      <c r="H196" s="17"/>
      <c r="I196" s="17"/>
      <c r="J196" s="17"/>
      <c r="K196" s="17"/>
    </row>
    <row r="197">
      <c r="A197" s="29"/>
      <c r="B197" s="24"/>
      <c r="C197" s="17"/>
      <c r="D197" s="17"/>
      <c r="E197" s="17"/>
      <c r="F197" s="17"/>
      <c r="G197" s="17"/>
      <c r="H197" s="17"/>
      <c r="I197" s="17"/>
      <c r="J197" s="17"/>
      <c r="K197" s="17"/>
    </row>
    <row r="198">
      <c r="A198" s="29"/>
      <c r="B198" s="24"/>
      <c r="C198" s="17"/>
      <c r="D198" s="17"/>
      <c r="E198" s="17"/>
      <c r="F198" s="17"/>
      <c r="G198" s="17"/>
      <c r="H198" s="17"/>
      <c r="I198" s="17"/>
      <c r="J198" s="17"/>
      <c r="K198" s="17"/>
    </row>
    <row r="199">
      <c r="A199" s="29"/>
      <c r="B199" s="24"/>
      <c r="C199" s="17"/>
      <c r="D199" s="17"/>
      <c r="E199" s="17"/>
      <c r="F199" s="17"/>
      <c r="G199" s="17"/>
      <c r="H199" s="17"/>
      <c r="I199" s="17"/>
      <c r="J199" s="17"/>
      <c r="K199" s="17"/>
    </row>
    <row r="200">
      <c r="A200" s="29"/>
      <c r="B200" s="24"/>
      <c r="C200" s="17"/>
      <c r="D200" s="17"/>
      <c r="E200" s="17"/>
      <c r="F200" s="17"/>
      <c r="G200" s="17"/>
      <c r="H200" s="17"/>
      <c r="I200" s="17"/>
      <c r="J200" s="17"/>
      <c r="K200" s="17"/>
    </row>
    <row r="201">
      <c r="A201" s="29"/>
      <c r="B201" s="24"/>
      <c r="C201" s="17"/>
      <c r="D201" s="17"/>
      <c r="E201" s="17"/>
      <c r="F201" s="17"/>
      <c r="G201" s="17"/>
      <c r="H201" s="17"/>
      <c r="I201" s="17"/>
      <c r="J201" s="17"/>
      <c r="K201" s="17"/>
    </row>
    <row r="202">
      <c r="A202" s="29"/>
      <c r="B202" s="24"/>
      <c r="C202" s="17"/>
      <c r="D202" s="17"/>
      <c r="E202" s="17"/>
      <c r="F202" s="17"/>
      <c r="G202" s="17"/>
      <c r="H202" s="17"/>
      <c r="I202" s="17"/>
      <c r="J202" s="17"/>
      <c r="K202" s="17"/>
    </row>
    <row r="203">
      <c r="A203" s="29"/>
      <c r="B203" s="24"/>
      <c r="C203" s="17"/>
      <c r="D203" s="17"/>
      <c r="E203" s="17"/>
      <c r="F203" s="17"/>
      <c r="G203" s="17"/>
      <c r="H203" s="17"/>
      <c r="I203" s="17"/>
      <c r="J203" s="17"/>
      <c r="K203" s="17"/>
    </row>
    <row r="204">
      <c r="A204" s="29"/>
      <c r="B204" s="24"/>
      <c r="C204" s="17"/>
      <c r="D204" s="17"/>
      <c r="E204" s="17"/>
      <c r="F204" s="17"/>
      <c r="G204" s="17"/>
      <c r="H204" s="17"/>
      <c r="I204" s="17"/>
      <c r="J204" s="17"/>
      <c r="K204" s="17"/>
    </row>
    <row r="205">
      <c r="A205" s="29"/>
      <c r="B205" s="24"/>
      <c r="C205" s="17"/>
      <c r="D205" s="17"/>
      <c r="E205" s="17"/>
      <c r="F205" s="17"/>
      <c r="G205" s="17"/>
      <c r="H205" s="17"/>
      <c r="I205" s="17"/>
      <c r="J205" s="17"/>
      <c r="K205" s="17"/>
    </row>
    <row r="206">
      <c r="A206" s="29"/>
      <c r="B206" s="24"/>
      <c r="C206" s="17"/>
      <c r="D206" s="17"/>
      <c r="E206" s="17"/>
      <c r="F206" s="17"/>
      <c r="G206" s="17"/>
      <c r="H206" s="17"/>
      <c r="I206" s="17"/>
      <c r="J206" s="17"/>
      <c r="K206" s="17"/>
    </row>
    <row r="207">
      <c r="A207" s="29"/>
      <c r="B207" s="24"/>
      <c r="C207" s="17"/>
      <c r="D207" s="17"/>
      <c r="E207" s="17"/>
      <c r="F207" s="17"/>
      <c r="G207" s="17"/>
      <c r="H207" s="17"/>
      <c r="I207" s="17"/>
      <c r="J207" s="17"/>
      <c r="K207" s="17"/>
    </row>
    <row r="208">
      <c r="A208" s="29"/>
      <c r="B208" s="24"/>
      <c r="C208" s="17"/>
      <c r="D208" s="17"/>
      <c r="E208" s="17"/>
      <c r="F208" s="17"/>
      <c r="G208" s="17"/>
      <c r="H208" s="17"/>
      <c r="I208" s="17"/>
      <c r="J208" s="17"/>
      <c r="K208" s="17"/>
    </row>
    <row r="209">
      <c r="A209" s="29"/>
      <c r="B209" s="24"/>
      <c r="C209" s="17"/>
      <c r="D209" s="17"/>
      <c r="E209" s="17"/>
      <c r="F209" s="17"/>
      <c r="G209" s="17"/>
      <c r="H209" s="17"/>
      <c r="I209" s="17"/>
      <c r="J209" s="17"/>
      <c r="K209" s="17"/>
    </row>
    <row r="210">
      <c r="A210" s="29"/>
      <c r="B210" s="24"/>
      <c r="C210" s="17"/>
      <c r="D210" s="17"/>
      <c r="E210" s="17"/>
      <c r="F210" s="17"/>
      <c r="G210" s="17"/>
      <c r="H210" s="17"/>
      <c r="I210" s="17"/>
      <c r="J210" s="17"/>
      <c r="K210" s="17"/>
    </row>
    <row r="211">
      <c r="A211" s="29"/>
      <c r="B211" s="24"/>
      <c r="C211" s="17"/>
      <c r="D211" s="17"/>
      <c r="E211" s="17"/>
      <c r="F211" s="17"/>
      <c r="G211" s="17"/>
      <c r="H211" s="17"/>
      <c r="I211" s="17"/>
      <c r="J211" s="17"/>
      <c r="K211" s="17"/>
    </row>
    <row r="212">
      <c r="A212" s="29"/>
      <c r="B212" s="24"/>
      <c r="C212" s="17"/>
      <c r="D212" s="17"/>
      <c r="E212" s="17"/>
      <c r="F212" s="17"/>
      <c r="G212" s="17"/>
      <c r="H212" s="17"/>
      <c r="I212" s="17"/>
      <c r="J212" s="17"/>
      <c r="K212" s="17"/>
    </row>
    <row r="213">
      <c r="A213" s="29"/>
      <c r="B213" s="24"/>
      <c r="C213" s="17"/>
      <c r="D213" s="17"/>
      <c r="E213" s="17"/>
      <c r="F213" s="17"/>
      <c r="G213" s="17"/>
      <c r="H213" s="17"/>
      <c r="I213" s="17"/>
      <c r="J213" s="17"/>
      <c r="K213" s="17"/>
    </row>
    <row r="214">
      <c r="A214" s="29"/>
      <c r="B214" s="24"/>
      <c r="C214" s="17"/>
      <c r="D214" s="17"/>
      <c r="E214" s="17"/>
      <c r="F214" s="17"/>
      <c r="G214" s="17"/>
      <c r="H214" s="17"/>
      <c r="I214" s="17"/>
      <c r="J214" s="17"/>
      <c r="K214" s="17"/>
    </row>
    <row r="215">
      <c r="A215" s="29"/>
      <c r="B215" s="24"/>
      <c r="C215" s="17"/>
      <c r="D215" s="17"/>
      <c r="E215" s="17"/>
      <c r="F215" s="17"/>
      <c r="G215" s="17"/>
      <c r="H215" s="17"/>
      <c r="I215" s="17"/>
      <c r="J215" s="17"/>
      <c r="K215" s="17"/>
    </row>
    <row r="216">
      <c r="A216" s="29"/>
      <c r="B216" s="24"/>
      <c r="C216" s="17"/>
      <c r="D216" s="17"/>
      <c r="E216" s="17"/>
      <c r="F216" s="17"/>
      <c r="G216" s="17"/>
      <c r="H216" s="17"/>
      <c r="I216" s="17"/>
      <c r="J216" s="17"/>
      <c r="K216" s="17"/>
    </row>
    <row r="217">
      <c r="A217" s="29"/>
      <c r="B217" s="24"/>
      <c r="C217" s="17"/>
      <c r="D217" s="17"/>
      <c r="E217" s="17"/>
      <c r="F217" s="17"/>
      <c r="G217" s="17"/>
      <c r="H217" s="17"/>
      <c r="I217" s="17"/>
      <c r="J217" s="17"/>
      <c r="K217" s="17"/>
    </row>
    <row r="218">
      <c r="A218" s="29"/>
      <c r="B218" s="24"/>
      <c r="C218" s="17"/>
      <c r="D218" s="17"/>
      <c r="E218" s="17"/>
      <c r="F218" s="17"/>
      <c r="G218" s="17"/>
      <c r="H218" s="17"/>
      <c r="I218" s="17"/>
      <c r="J218" s="17"/>
      <c r="K218" s="17"/>
    </row>
    <row r="219">
      <c r="A219" s="29"/>
      <c r="B219" s="24"/>
      <c r="C219" s="17"/>
      <c r="D219" s="17"/>
      <c r="E219" s="17"/>
      <c r="F219" s="17"/>
      <c r="G219" s="17"/>
      <c r="H219" s="17"/>
      <c r="I219" s="17"/>
      <c r="J219" s="17"/>
      <c r="K219" s="17"/>
    </row>
    <row r="220">
      <c r="A220" s="29"/>
      <c r="B220" s="24"/>
      <c r="C220" s="17"/>
      <c r="D220" s="17"/>
      <c r="E220" s="17"/>
      <c r="F220" s="17"/>
      <c r="G220" s="17"/>
      <c r="H220" s="17"/>
      <c r="I220" s="17"/>
      <c r="J220" s="17"/>
      <c r="K220" s="17"/>
    </row>
    <row r="221">
      <c r="A221" s="29"/>
      <c r="B221" s="24"/>
      <c r="C221" s="17"/>
      <c r="D221" s="17"/>
      <c r="E221" s="17"/>
      <c r="F221" s="17"/>
      <c r="G221" s="17"/>
      <c r="H221" s="17"/>
      <c r="I221" s="17"/>
      <c r="J221" s="17"/>
      <c r="K221" s="17"/>
    </row>
    <row r="222">
      <c r="A222" s="29"/>
      <c r="B222" s="24"/>
      <c r="C222" s="17"/>
      <c r="D222" s="17"/>
      <c r="E222" s="17"/>
      <c r="F222" s="17"/>
      <c r="G222" s="17"/>
      <c r="H222" s="17"/>
      <c r="I222" s="17"/>
      <c r="J222" s="17"/>
      <c r="K222" s="17"/>
    </row>
    <row r="223">
      <c r="A223" s="29"/>
      <c r="B223" s="24"/>
      <c r="C223" s="17"/>
      <c r="D223" s="17"/>
      <c r="E223" s="17"/>
      <c r="F223" s="17"/>
      <c r="G223" s="17"/>
      <c r="H223" s="17"/>
      <c r="I223" s="17"/>
      <c r="J223" s="17"/>
      <c r="K223" s="17"/>
    </row>
    <row r="224">
      <c r="A224" s="29"/>
      <c r="B224" s="24"/>
      <c r="C224" s="17"/>
      <c r="D224" s="17"/>
      <c r="E224" s="17"/>
      <c r="F224" s="17"/>
      <c r="G224" s="17"/>
      <c r="H224" s="17"/>
      <c r="I224" s="17"/>
      <c r="J224" s="17"/>
      <c r="K224" s="17"/>
    </row>
    <row r="225">
      <c r="A225" s="29"/>
      <c r="B225" s="24"/>
      <c r="C225" s="17"/>
      <c r="D225" s="17"/>
      <c r="E225" s="17"/>
      <c r="F225" s="17"/>
      <c r="G225" s="17"/>
      <c r="H225" s="17"/>
      <c r="I225" s="17"/>
      <c r="J225" s="17"/>
      <c r="K225" s="17"/>
    </row>
    <row r="226">
      <c r="A226" s="29"/>
      <c r="B226" s="24"/>
      <c r="C226" s="17"/>
      <c r="D226" s="17"/>
      <c r="E226" s="17"/>
      <c r="F226" s="17"/>
      <c r="G226" s="17"/>
      <c r="H226" s="17"/>
      <c r="I226" s="17"/>
      <c r="J226" s="17"/>
      <c r="K226" s="17"/>
    </row>
    <row r="227">
      <c r="A227" s="29"/>
      <c r="B227" s="24"/>
      <c r="C227" s="17"/>
      <c r="D227" s="17"/>
      <c r="E227" s="17"/>
      <c r="F227" s="17"/>
      <c r="G227" s="17"/>
      <c r="H227" s="17"/>
      <c r="I227" s="17"/>
      <c r="J227" s="17"/>
      <c r="K227" s="17"/>
    </row>
    <row r="228">
      <c r="A228" s="29"/>
      <c r="B228" s="24"/>
      <c r="C228" s="17"/>
      <c r="D228" s="17"/>
      <c r="E228" s="17"/>
      <c r="F228" s="17"/>
      <c r="G228" s="17"/>
      <c r="H228" s="17"/>
      <c r="I228" s="17"/>
      <c r="J228" s="17"/>
      <c r="K228" s="17"/>
    </row>
    <row r="229">
      <c r="A229" s="29"/>
      <c r="B229" s="24"/>
      <c r="C229" s="17"/>
      <c r="D229" s="17"/>
      <c r="E229" s="17"/>
      <c r="F229" s="17"/>
      <c r="G229" s="17"/>
      <c r="H229" s="17"/>
      <c r="I229" s="17"/>
      <c r="J229" s="17"/>
      <c r="K229" s="17"/>
    </row>
    <row r="230">
      <c r="A230" s="29"/>
      <c r="B230" s="24"/>
      <c r="C230" s="17"/>
      <c r="D230" s="17"/>
      <c r="E230" s="17"/>
      <c r="F230" s="17"/>
      <c r="G230" s="17"/>
      <c r="H230" s="17"/>
      <c r="I230" s="17"/>
      <c r="J230" s="17"/>
      <c r="K230" s="17"/>
    </row>
    <row r="231">
      <c r="A231" s="29"/>
      <c r="B231" s="24"/>
      <c r="C231" s="17"/>
      <c r="D231" s="17"/>
      <c r="E231" s="17"/>
      <c r="F231" s="17"/>
      <c r="G231" s="17"/>
      <c r="H231" s="17"/>
      <c r="I231" s="17"/>
      <c r="J231" s="17"/>
      <c r="K231" s="17"/>
    </row>
    <row r="232">
      <c r="A232" s="29"/>
      <c r="B232" s="24"/>
      <c r="C232" s="17"/>
      <c r="D232" s="17"/>
      <c r="E232" s="17"/>
      <c r="F232" s="17"/>
      <c r="G232" s="17"/>
      <c r="H232" s="17"/>
      <c r="I232" s="17"/>
      <c r="J232" s="17"/>
      <c r="K232" s="17"/>
    </row>
    <row r="233">
      <c r="A233" s="29"/>
      <c r="B233" s="24"/>
      <c r="C233" s="17"/>
      <c r="D233" s="17"/>
      <c r="E233" s="17"/>
      <c r="F233" s="17"/>
      <c r="G233" s="17"/>
      <c r="H233" s="17"/>
      <c r="I233" s="17"/>
      <c r="J233" s="17"/>
      <c r="K233" s="17"/>
    </row>
    <row r="234">
      <c r="A234" s="29"/>
      <c r="B234" s="24"/>
      <c r="C234" s="17"/>
      <c r="D234" s="17"/>
      <c r="E234" s="17"/>
      <c r="F234" s="17"/>
      <c r="G234" s="17"/>
      <c r="H234" s="17"/>
      <c r="I234" s="17"/>
      <c r="J234" s="17"/>
      <c r="K234" s="17"/>
    </row>
    <row r="235">
      <c r="A235" s="29"/>
      <c r="B235" s="24"/>
      <c r="C235" s="17"/>
      <c r="D235" s="17"/>
      <c r="E235" s="17"/>
      <c r="F235" s="17"/>
      <c r="G235" s="17"/>
      <c r="H235" s="17"/>
      <c r="I235" s="17"/>
      <c r="J235" s="17"/>
      <c r="K235" s="17"/>
    </row>
    <row r="236">
      <c r="A236" s="29"/>
      <c r="B236" s="24"/>
      <c r="C236" s="17"/>
      <c r="D236" s="17"/>
      <c r="E236" s="17"/>
      <c r="F236" s="17"/>
      <c r="G236" s="17"/>
      <c r="H236" s="17"/>
      <c r="I236" s="17"/>
      <c r="J236" s="17"/>
      <c r="K236" s="17"/>
    </row>
    <row r="237">
      <c r="A237" s="29"/>
      <c r="B237" s="24"/>
      <c r="C237" s="17"/>
      <c r="D237" s="17"/>
      <c r="E237" s="17"/>
      <c r="F237" s="17"/>
      <c r="G237" s="17"/>
      <c r="H237" s="17"/>
      <c r="I237" s="17"/>
      <c r="J237" s="17"/>
      <c r="K237" s="17"/>
    </row>
    <row r="238">
      <c r="A238" s="29"/>
      <c r="B238" s="24"/>
      <c r="C238" s="17"/>
      <c r="D238" s="17"/>
      <c r="E238" s="17"/>
      <c r="F238" s="17"/>
      <c r="G238" s="17"/>
      <c r="H238" s="17"/>
      <c r="I238" s="17"/>
      <c r="J238" s="17"/>
      <c r="K238" s="17"/>
    </row>
    <row r="239">
      <c r="A239" s="29"/>
      <c r="B239" s="24"/>
      <c r="C239" s="17"/>
      <c r="D239" s="17"/>
      <c r="E239" s="17"/>
      <c r="F239" s="17"/>
      <c r="G239" s="17"/>
      <c r="H239" s="17"/>
      <c r="I239" s="17"/>
      <c r="J239" s="17"/>
      <c r="K239" s="17"/>
    </row>
    <row r="240">
      <c r="A240" s="29"/>
      <c r="B240" s="24"/>
      <c r="C240" s="17"/>
      <c r="D240" s="17"/>
      <c r="E240" s="17"/>
      <c r="F240" s="17"/>
      <c r="G240" s="17"/>
      <c r="H240" s="17"/>
      <c r="I240" s="17"/>
      <c r="J240" s="17"/>
      <c r="K240" s="17"/>
    </row>
    <row r="241">
      <c r="A241" s="29"/>
      <c r="B241" s="24"/>
      <c r="C241" s="17"/>
      <c r="D241" s="17"/>
      <c r="E241" s="17"/>
      <c r="F241" s="17"/>
      <c r="G241" s="17"/>
      <c r="H241" s="17"/>
      <c r="I241" s="17"/>
      <c r="J241" s="17"/>
      <c r="K241" s="17"/>
    </row>
    <row r="242">
      <c r="A242" s="29"/>
      <c r="B242" s="24"/>
      <c r="C242" s="17"/>
      <c r="D242" s="17"/>
      <c r="E242" s="17"/>
      <c r="F242" s="17"/>
      <c r="G242" s="17"/>
      <c r="H242" s="17"/>
      <c r="I242" s="17"/>
      <c r="J242" s="17"/>
      <c r="K242" s="17"/>
    </row>
    <row r="243">
      <c r="A243" s="29"/>
      <c r="B243" s="24"/>
      <c r="C243" s="17"/>
      <c r="D243" s="17"/>
      <c r="E243" s="17"/>
      <c r="F243" s="17"/>
      <c r="G243" s="17"/>
      <c r="H243" s="17"/>
      <c r="I243" s="17"/>
      <c r="J243" s="17"/>
      <c r="K243" s="17"/>
    </row>
    <row r="244">
      <c r="A244" s="29"/>
      <c r="B244" s="24"/>
      <c r="C244" s="17"/>
      <c r="D244" s="17"/>
      <c r="E244" s="17"/>
      <c r="F244" s="17"/>
      <c r="G244" s="17"/>
      <c r="H244" s="17"/>
      <c r="I244" s="17"/>
      <c r="J244" s="17"/>
      <c r="K244" s="17"/>
    </row>
    <row r="245">
      <c r="A245" s="29"/>
      <c r="B245" s="24"/>
      <c r="C245" s="17"/>
      <c r="D245" s="17"/>
      <c r="E245" s="17"/>
      <c r="F245" s="17"/>
      <c r="G245" s="17"/>
      <c r="H245" s="17"/>
      <c r="I245" s="17"/>
      <c r="J245" s="17"/>
      <c r="K245" s="17"/>
    </row>
    <row r="246">
      <c r="A246" s="29"/>
      <c r="B246" s="24"/>
      <c r="C246" s="17"/>
      <c r="D246" s="17"/>
      <c r="E246" s="17"/>
      <c r="F246" s="17"/>
      <c r="G246" s="17"/>
      <c r="H246" s="17"/>
      <c r="I246" s="17"/>
      <c r="J246" s="17"/>
      <c r="K246" s="17"/>
    </row>
    <row r="247">
      <c r="A247" s="29"/>
      <c r="B247" s="24"/>
      <c r="C247" s="17"/>
      <c r="D247" s="17"/>
      <c r="E247" s="17"/>
      <c r="F247" s="17"/>
      <c r="G247" s="17"/>
      <c r="H247" s="17"/>
      <c r="I247" s="17"/>
      <c r="J247" s="17"/>
      <c r="K247" s="17"/>
    </row>
    <row r="248">
      <c r="A248" s="29"/>
      <c r="B248" s="24"/>
      <c r="C248" s="17"/>
      <c r="D248" s="17"/>
      <c r="E248" s="17"/>
      <c r="F248" s="17"/>
      <c r="G248" s="17"/>
      <c r="H248" s="17"/>
      <c r="I248" s="17"/>
      <c r="J248" s="17"/>
      <c r="K248" s="17"/>
    </row>
    <row r="249">
      <c r="A249" s="29"/>
      <c r="B249" s="24"/>
      <c r="C249" s="17"/>
      <c r="D249" s="17"/>
      <c r="E249" s="17"/>
      <c r="F249" s="17"/>
      <c r="G249" s="17"/>
      <c r="H249" s="17"/>
      <c r="I249" s="17"/>
      <c r="J249" s="17"/>
      <c r="K249" s="17"/>
    </row>
    <row r="250">
      <c r="A250" s="29"/>
      <c r="B250" s="24"/>
      <c r="C250" s="17"/>
      <c r="D250" s="17"/>
      <c r="E250" s="17"/>
      <c r="F250" s="17"/>
      <c r="G250" s="17"/>
      <c r="H250" s="17"/>
      <c r="I250" s="17"/>
      <c r="J250" s="17"/>
      <c r="K250" s="17"/>
    </row>
    <row r="251">
      <c r="A251" s="29"/>
      <c r="B251" s="24"/>
      <c r="C251" s="17"/>
      <c r="D251" s="17"/>
      <c r="E251" s="17"/>
      <c r="F251" s="17"/>
      <c r="G251" s="17"/>
      <c r="H251" s="17"/>
      <c r="I251" s="17"/>
      <c r="J251" s="17"/>
      <c r="K251" s="17"/>
    </row>
    <row r="252">
      <c r="A252" s="29"/>
      <c r="B252" s="24"/>
      <c r="C252" s="17"/>
      <c r="D252" s="17"/>
      <c r="E252" s="17"/>
      <c r="F252" s="17"/>
      <c r="G252" s="17"/>
      <c r="H252" s="17"/>
      <c r="I252" s="17"/>
      <c r="J252" s="17"/>
      <c r="K252" s="17"/>
    </row>
    <row r="253">
      <c r="A253" s="29"/>
      <c r="B253" s="24"/>
      <c r="C253" s="17"/>
      <c r="D253" s="17"/>
      <c r="E253" s="17"/>
      <c r="F253" s="17"/>
      <c r="G253" s="17"/>
      <c r="H253" s="17"/>
      <c r="I253" s="17"/>
      <c r="J253" s="17"/>
      <c r="K253" s="17"/>
    </row>
    <row r="254">
      <c r="A254" s="29"/>
      <c r="B254" s="24"/>
      <c r="C254" s="17"/>
      <c r="D254" s="17"/>
      <c r="E254" s="17"/>
      <c r="F254" s="17"/>
      <c r="G254" s="17"/>
      <c r="H254" s="17"/>
      <c r="I254" s="17"/>
      <c r="J254" s="17"/>
      <c r="K254" s="17"/>
    </row>
    <row r="255">
      <c r="A255" s="29"/>
      <c r="B255" s="24"/>
      <c r="C255" s="17"/>
      <c r="D255" s="17"/>
      <c r="E255" s="17"/>
      <c r="F255" s="17"/>
      <c r="G255" s="17"/>
      <c r="H255" s="17"/>
      <c r="I255" s="17"/>
      <c r="J255" s="17"/>
      <c r="K255" s="17"/>
    </row>
    <row r="256">
      <c r="A256" s="29"/>
      <c r="B256" s="24"/>
      <c r="C256" s="17"/>
      <c r="D256" s="17"/>
      <c r="E256" s="17"/>
      <c r="F256" s="17"/>
      <c r="G256" s="17"/>
      <c r="H256" s="17"/>
      <c r="I256" s="17"/>
      <c r="J256" s="17"/>
      <c r="K256" s="17"/>
    </row>
    <row r="257">
      <c r="A257" s="29"/>
      <c r="B257" s="24"/>
      <c r="C257" s="17"/>
      <c r="D257" s="17"/>
      <c r="E257" s="17"/>
      <c r="F257" s="17"/>
      <c r="G257" s="17"/>
      <c r="H257" s="17"/>
      <c r="I257" s="17"/>
      <c r="J257" s="17"/>
      <c r="K257" s="17"/>
    </row>
    <row r="258">
      <c r="A258" s="29"/>
      <c r="B258" s="24"/>
      <c r="C258" s="17"/>
      <c r="D258" s="17"/>
      <c r="E258" s="17"/>
      <c r="F258" s="17"/>
      <c r="G258" s="17"/>
      <c r="H258" s="17"/>
      <c r="I258" s="17"/>
      <c r="J258" s="17"/>
      <c r="K258" s="17"/>
    </row>
    <row r="259">
      <c r="A259" s="29"/>
      <c r="B259" s="24"/>
      <c r="C259" s="17"/>
      <c r="D259" s="17"/>
      <c r="E259" s="17"/>
      <c r="F259" s="17"/>
      <c r="G259" s="17"/>
      <c r="H259" s="17"/>
      <c r="I259" s="17"/>
      <c r="J259" s="17"/>
      <c r="K259" s="17"/>
    </row>
    <row r="260">
      <c r="A260" s="29"/>
      <c r="B260" s="24"/>
      <c r="C260" s="17"/>
      <c r="D260" s="17"/>
      <c r="E260" s="17"/>
      <c r="F260" s="17"/>
      <c r="G260" s="17"/>
      <c r="H260" s="17"/>
      <c r="I260" s="17"/>
      <c r="J260" s="17"/>
      <c r="K260" s="17"/>
    </row>
    <row r="261">
      <c r="A261" s="29"/>
      <c r="B261" s="24"/>
      <c r="C261" s="17"/>
      <c r="D261" s="17"/>
      <c r="E261" s="17"/>
      <c r="F261" s="17"/>
      <c r="G261" s="17"/>
      <c r="H261" s="17"/>
      <c r="I261" s="17"/>
      <c r="J261" s="17"/>
      <c r="K261" s="17"/>
    </row>
    <row r="262">
      <c r="A262" s="29"/>
      <c r="B262" s="24"/>
      <c r="C262" s="17"/>
      <c r="D262" s="17"/>
      <c r="E262" s="17"/>
      <c r="F262" s="17"/>
      <c r="G262" s="17"/>
      <c r="H262" s="17"/>
      <c r="I262" s="17"/>
      <c r="J262" s="17"/>
      <c r="K262" s="17"/>
    </row>
    <row r="263">
      <c r="A263" s="29"/>
      <c r="B263" s="24"/>
      <c r="C263" s="17"/>
      <c r="D263" s="17"/>
      <c r="E263" s="17"/>
      <c r="F263" s="17"/>
      <c r="G263" s="17"/>
      <c r="H263" s="17"/>
      <c r="I263" s="17"/>
      <c r="J263" s="17"/>
      <c r="K263" s="17"/>
    </row>
    <row r="264">
      <c r="A264" s="29"/>
      <c r="B264" s="24"/>
      <c r="C264" s="17"/>
      <c r="D264" s="17"/>
      <c r="E264" s="17"/>
      <c r="F264" s="17"/>
      <c r="G264" s="17"/>
      <c r="H264" s="17"/>
      <c r="I264" s="17"/>
      <c r="J264" s="17"/>
      <c r="K264" s="17"/>
    </row>
    <row r="265">
      <c r="A265" s="29"/>
      <c r="B265" s="24"/>
      <c r="C265" s="17"/>
      <c r="D265" s="17"/>
      <c r="E265" s="17"/>
      <c r="F265" s="17"/>
      <c r="G265" s="17"/>
      <c r="H265" s="17"/>
      <c r="I265" s="17"/>
      <c r="J265" s="17"/>
      <c r="K265" s="17"/>
    </row>
    <row r="266">
      <c r="A266" s="29"/>
      <c r="B266" s="24"/>
      <c r="C266" s="17"/>
      <c r="D266" s="17"/>
      <c r="E266" s="17"/>
      <c r="F266" s="17"/>
      <c r="G266" s="17"/>
      <c r="H266" s="17"/>
      <c r="I266" s="17"/>
      <c r="J266" s="17"/>
      <c r="K266" s="17"/>
    </row>
    <row r="267">
      <c r="A267" s="29"/>
      <c r="B267" s="24"/>
      <c r="C267" s="17"/>
      <c r="D267" s="17"/>
      <c r="E267" s="17"/>
      <c r="F267" s="17"/>
      <c r="G267" s="17"/>
      <c r="H267" s="17"/>
      <c r="I267" s="17"/>
      <c r="J267" s="17"/>
      <c r="K267" s="17"/>
    </row>
    <row r="268">
      <c r="A268" s="29"/>
      <c r="B268" s="24"/>
      <c r="C268" s="17"/>
      <c r="D268" s="17"/>
      <c r="E268" s="17"/>
      <c r="F268" s="17"/>
      <c r="G268" s="17"/>
      <c r="H268" s="17"/>
      <c r="I268" s="17"/>
      <c r="J268" s="17"/>
      <c r="K268" s="17"/>
    </row>
    <row r="269">
      <c r="A269" s="29"/>
      <c r="B269" s="24"/>
      <c r="C269" s="17"/>
      <c r="D269" s="17"/>
      <c r="E269" s="17"/>
      <c r="F269" s="17"/>
      <c r="G269" s="17"/>
      <c r="H269" s="17"/>
      <c r="I269" s="17"/>
      <c r="J269" s="17"/>
      <c r="K269" s="17"/>
    </row>
    <row r="270">
      <c r="A270" s="29"/>
      <c r="B270" s="24"/>
      <c r="C270" s="17"/>
      <c r="D270" s="17"/>
      <c r="E270" s="17"/>
      <c r="F270" s="17"/>
      <c r="G270" s="17"/>
      <c r="H270" s="17"/>
      <c r="I270" s="17"/>
      <c r="J270" s="17"/>
      <c r="K270" s="17"/>
    </row>
    <row r="271">
      <c r="A271" s="29"/>
      <c r="B271" s="24"/>
      <c r="C271" s="17"/>
      <c r="D271" s="17"/>
      <c r="E271" s="17"/>
      <c r="F271" s="17"/>
      <c r="G271" s="17"/>
      <c r="H271" s="17"/>
      <c r="I271" s="17"/>
      <c r="J271" s="17"/>
      <c r="K271" s="17"/>
    </row>
    <row r="272">
      <c r="A272" s="29"/>
      <c r="B272" s="24"/>
      <c r="C272" s="17"/>
      <c r="D272" s="17"/>
      <c r="E272" s="17"/>
      <c r="F272" s="17"/>
      <c r="G272" s="17"/>
      <c r="H272" s="17"/>
      <c r="I272" s="17"/>
      <c r="J272" s="17"/>
      <c r="K272" s="17"/>
    </row>
    <row r="273">
      <c r="A273" s="29"/>
      <c r="B273" s="24"/>
      <c r="C273" s="17"/>
      <c r="D273" s="17"/>
      <c r="E273" s="17"/>
      <c r="F273" s="17"/>
      <c r="G273" s="17"/>
      <c r="H273" s="17"/>
      <c r="I273" s="17"/>
      <c r="J273" s="17"/>
      <c r="K273" s="17"/>
    </row>
    <row r="274">
      <c r="A274" s="29"/>
      <c r="B274" s="24"/>
      <c r="C274" s="17"/>
      <c r="D274" s="17"/>
      <c r="E274" s="17"/>
      <c r="F274" s="17"/>
      <c r="G274" s="17"/>
      <c r="H274" s="17"/>
      <c r="I274" s="17"/>
      <c r="J274" s="17"/>
      <c r="K274" s="17"/>
    </row>
    <row r="275">
      <c r="A275" s="29"/>
      <c r="B275" s="24"/>
      <c r="C275" s="17"/>
      <c r="D275" s="17"/>
      <c r="E275" s="17"/>
      <c r="F275" s="17"/>
      <c r="G275" s="17"/>
      <c r="H275" s="17"/>
      <c r="I275" s="17"/>
      <c r="J275" s="17"/>
      <c r="K275" s="17"/>
    </row>
    <row r="276">
      <c r="A276" s="29"/>
      <c r="B276" s="24"/>
      <c r="C276" s="17"/>
      <c r="D276" s="17"/>
      <c r="E276" s="17"/>
      <c r="F276" s="17"/>
      <c r="G276" s="17"/>
      <c r="H276" s="17"/>
      <c r="I276" s="17"/>
      <c r="J276" s="17"/>
      <c r="K276" s="17"/>
    </row>
    <row r="277">
      <c r="A277" s="29"/>
      <c r="B277" s="24"/>
      <c r="C277" s="17"/>
      <c r="D277" s="17"/>
      <c r="E277" s="17"/>
      <c r="F277" s="17"/>
      <c r="G277" s="17"/>
      <c r="H277" s="17"/>
      <c r="I277" s="17"/>
      <c r="J277" s="17"/>
      <c r="K277" s="17"/>
    </row>
    <row r="278">
      <c r="A278" s="29"/>
      <c r="B278" s="24"/>
      <c r="C278" s="17"/>
      <c r="D278" s="17"/>
      <c r="E278" s="17"/>
      <c r="F278" s="17"/>
      <c r="G278" s="17"/>
      <c r="H278" s="17"/>
      <c r="I278" s="17"/>
      <c r="J278" s="17"/>
      <c r="K278" s="17"/>
    </row>
    <row r="279">
      <c r="A279" s="29"/>
      <c r="B279" s="24"/>
      <c r="C279" s="17"/>
      <c r="D279" s="17"/>
      <c r="E279" s="17"/>
      <c r="F279" s="17"/>
      <c r="G279" s="17"/>
      <c r="H279" s="17"/>
      <c r="I279" s="17"/>
      <c r="J279" s="17"/>
      <c r="K279" s="17"/>
    </row>
    <row r="280">
      <c r="A280" s="29"/>
      <c r="B280" s="24"/>
      <c r="C280" s="17"/>
      <c r="D280" s="17"/>
      <c r="E280" s="17"/>
      <c r="F280" s="17"/>
      <c r="G280" s="17"/>
      <c r="H280" s="17"/>
      <c r="I280" s="17"/>
      <c r="J280" s="17"/>
      <c r="K280" s="17"/>
    </row>
    <row r="281">
      <c r="A281" s="29"/>
      <c r="B281" s="24"/>
      <c r="C281" s="17"/>
      <c r="D281" s="17"/>
      <c r="E281" s="17"/>
      <c r="F281" s="17"/>
      <c r="G281" s="17"/>
      <c r="H281" s="17"/>
      <c r="I281" s="17"/>
      <c r="J281" s="17"/>
      <c r="K281" s="17"/>
    </row>
    <row r="282">
      <c r="A282" s="29"/>
      <c r="B282" s="24"/>
      <c r="C282" s="17"/>
      <c r="D282" s="17"/>
      <c r="E282" s="17"/>
      <c r="F282" s="17"/>
      <c r="G282" s="17"/>
      <c r="H282" s="17"/>
      <c r="I282" s="17"/>
      <c r="J282" s="17"/>
      <c r="K282" s="17"/>
    </row>
    <row r="283">
      <c r="A283" s="29"/>
      <c r="B283" s="24"/>
      <c r="C283" s="17"/>
      <c r="D283" s="17"/>
      <c r="E283" s="17"/>
      <c r="F283" s="17"/>
      <c r="G283" s="17"/>
      <c r="H283" s="17"/>
      <c r="I283" s="17"/>
      <c r="J283" s="17"/>
      <c r="K283" s="17"/>
    </row>
    <row r="284">
      <c r="A284" s="29"/>
      <c r="B284" s="24"/>
      <c r="C284" s="17"/>
      <c r="D284" s="17"/>
      <c r="E284" s="17"/>
      <c r="F284" s="17"/>
      <c r="G284" s="17"/>
      <c r="H284" s="17"/>
      <c r="I284" s="17"/>
      <c r="J284" s="17"/>
      <c r="K284" s="17"/>
    </row>
    <row r="285">
      <c r="A285" s="29"/>
      <c r="B285" s="24"/>
      <c r="C285" s="17"/>
      <c r="D285" s="17"/>
      <c r="E285" s="17"/>
      <c r="F285" s="17"/>
      <c r="G285" s="17"/>
      <c r="H285" s="17"/>
      <c r="I285" s="17"/>
      <c r="J285" s="17"/>
      <c r="K285" s="17"/>
    </row>
    <row r="286">
      <c r="A286" s="29"/>
      <c r="B286" s="24"/>
      <c r="C286" s="17"/>
      <c r="D286" s="17"/>
      <c r="E286" s="17"/>
      <c r="F286" s="17"/>
      <c r="G286" s="17"/>
      <c r="H286" s="17"/>
      <c r="I286" s="17"/>
      <c r="J286" s="17"/>
      <c r="K286" s="17"/>
    </row>
    <row r="287">
      <c r="A287" s="29"/>
      <c r="B287" s="24"/>
      <c r="C287" s="17"/>
      <c r="D287" s="17"/>
      <c r="E287" s="17"/>
      <c r="F287" s="17"/>
      <c r="G287" s="17"/>
      <c r="H287" s="17"/>
      <c r="I287" s="17"/>
      <c r="J287" s="17"/>
      <c r="K287" s="17"/>
    </row>
    <row r="288">
      <c r="A288" s="29"/>
      <c r="B288" s="24"/>
      <c r="C288" s="17"/>
      <c r="D288" s="17"/>
      <c r="E288" s="17"/>
      <c r="F288" s="17"/>
      <c r="G288" s="17"/>
      <c r="H288" s="17"/>
      <c r="I288" s="17"/>
      <c r="J288" s="17"/>
      <c r="K288" s="17"/>
    </row>
    <row r="289">
      <c r="A289" s="29"/>
      <c r="B289" s="24"/>
      <c r="C289" s="17"/>
      <c r="D289" s="17"/>
      <c r="E289" s="17"/>
      <c r="F289" s="17"/>
      <c r="G289" s="17"/>
      <c r="H289" s="17"/>
      <c r="I289" s="17"/>
      <c r="J289" s="17"/>
      <c r="K289" s="17"/>
    </row>
    <row r="290">
      <c r="A290" s="29"/>
      <c r="B290" s="24"/>
      <c r="C290" s="17"/>
      <c r="D290" s="17"/>
      <c r="E290" s="17"/>
      <c r="F290" s="17"/>
      <c r="G290" s="17"/>
      <c r="H290" s="17"/>
      <c r="I290" s="17"/>
      <c r="J290" s="17"/>
      <c r="K290" s="17"/>
    </row>
    <row r="291">
      <c r="A291" s="29"/>
      <c r="B291" s="24"/>
      <c r="C291" s="17"/>
      <c r="D291" s="17"/>
      <c r="E291" s="17"/>
      <c r="F291" s="17"/>
      <c r="G291" s="17"/>
      <c r="H291" s="17"/>
      <c r="I291" s="17"/>
      <c r="J291" s="17"/>
      <c r="K291" s="17"/>
    </row>
    <row r="292">
      <c r="A292" s="29"/>
      <c r="B292" s="24"/>
      <c r="C292" s="17"/>
      <c r="D292" s="17"/>
      <c r="E292" s="17"/>
      <c r="F292" s="17"/>
      <c r="G292" s="17"/>
      <c r="H292" s="17"/>
      <c r="I292" s="17"/>
      <c r="J292" s="17"/>
      <c r="K292" s="17"/>
    </row>
    <row r="293">
      <c r="A293" s="29"/>
      <c r="B293" s="24"/>
      <c r="C293" s="17"/>
      <c r="D293" s="17"/>
      <c r="E293" s="17"/>
      <c r="F293" s="17"/>
      <c r="G293" s="17"/>
      <c r="H293" s="17"/>
      <c r="I293" s="17"/>
      <c r="J293" s="17"/>
      <c r="K293" s="17"/>
    </row>
    <row r="294">
      <c r="A294" s="29"/>
      <c r="B294" s="24"/>
      <c r="C294" s="17"/>
      <c r="D294" s="17"/>
      <c r="E294" s="17"/>
      <c r="F294" s="17"/>
      <c r="G294" s="17"/>
      <c r="H294" s="17"/>
      <c r="I294" s="17"/>
      <c r="J294" s="17"/>
      <c r="K294" s="17"/>
    </row>
    <row r="295">
      <c r="A295" s="29"/>
      <c r="B295" s="24"/>
      <c r="C295" s="17"/>
      <c r="D295" s="17"/>
      <c r="E295" s="17"/>
      <c r="F295" s="17"/>
      <c r="G295" s="17"/>
      <c r="H295" s="17"/>
      <c r="I295" s="17"/>
      <c r="J295" s="17"/>
      <c r="K295" s="17"/>
    </row>
    <row r="296">
      <c r="A296" s="29"/>
      <c r="B296" s="24"/>
      <c r="C296" s="17"/>
      <c r="D296" s="17"/>
      <c r="E296" s="17"/>
      <c r="F296" s="17"/>
      <c r="G296" s="17"/>
      <c r="H296" s="17"/>
      <c r="I296" s="17"/>
      <c r="J296" s="17"/>
      <c r="K296" s="17"/>
    </row>
    <row r="297">
      <c r="A297" s="29"/>
      <c r="B297" s="24"/>
      <c r="C297" s="17"/>
      <c r="D297" s="17"/>
      <c r="E297" s="17"/>
      <c r="F297" s="17"/>
      <c r="G297" s="17"/>
      <c r="H297" s="17"/>
      <c r="I297" s="17"/>
      <c r="J297" s="17"/>
      <c r="K297" s="17"/>
    </row>
    <row r="298">
      <c r="A298" s="29"/>
      <c r="B298" s="24"/>
      <c r="C298" s="17"/>
      <c r="D298" s="17"/>
      <c r="E298" s="17"/>
      <c r="F298" s="17"/>
      <c r="G298" s="17"/>
      <c r="H298" s="17"/>
      <c r="I298" s="17"/>
      <c r="J298" s="17"/>
      <c r="K298" s="17"/>
    </row>
    <row r="299">
      <c r="A299" s="29"/>
      <c r="B299" s="24"/>
      <c r="C299" s="17"/>
      <c r="D299" s="17"/>
      <c r="E299" s="17"/>
      <c r="F299" s="17"/>
      <c r="G299" s="17"/>
      <c r="H299" s="17"/>
      <c r="I299" s="17"/>
      <c r="J299" s="17"/>
      <c r="K299" s="17"/>
    </row>
    <row r="300">
      <c r="A300" s="29"/>
      <c r="B300" s="24"/>
      <c r="C300" s="17"/>
      <c r="D300" s="17"/>
      <c r="E300" s="17"/>
      <c r="F300" s="17"/>
      <c r="G300" s="17"/>
      <c r="H300" s="17"/>
      <c r="I300" s="17"/>
      <c r="J300" s="17"/>
      <c r="K300" s="17"/>
    </row>
    <row r="301">
      <c r="A301" s="29"/>
      <c r="B301" s="24"/>
      <c r="C301" s="17"/>
      <c r="D301" s="17"/>
      <c r="E301" s="17"/>
      <c r="F301" s="17"/>
      <c r="G301" s="17"/>
      <c r="H301" s="17"/>
      <c r="I301" s="17"/>
      <c r="J301" s="17"/>
      <c r="K301" s="17"/>
    </row>
    <row r="302">
      <c r="A302" s="29"/>
      <c r="B302" s="24"/>
      <c r="C302" s="17"/>
      <c r="D302" s="17"/>
      <c r="E302" s="17"/>
      <c r="F302" s="17"/>
      <c r="G302" s="17"/>
      <c r="H302" s="17"/>
      <c r="I302" s="17"/>
      <c r="J302" s="17"/>
      <c r="K302" s="17"/>
    </row>
    <row r="303">
      <c r="A303" s="29"/>
      <c r="B303" s="24"/>
      <c r="C303" s="17"/>
      <c r="D303" s="17"/>
      <c r="E303" s="17"/>
      <c r="F303" s="17"/>
      <c r="G303" s="17"/>
      <c r="H303" s="17"/>
      <c r="I303" s="17"/>
      <c r="J303" s="17"/>
      <c r="K303" s="17"/>
    </row>
    <row r="304">
      <c r="A304" s="29"/>
      <c r="B304" s="24"/>
      <c r="C304" s="17"/>
      <c r="D304" s="17"/>
      <c r="E304" s="17"/>
      <c r="F304" s="17"/>
      <c r="G304" s="17"/>
      <c r="H304" s="17"/>
      <c r="I304" s="17"/>
      <c r="J304" s="17"/>
      <c r="K304" s="17"/>
    </row>
    <row r="305">
      <c r="A305" s="29"/>
      <c r="B305" s="24"/>
      <c r="C305" s="17"/>
      <c r="D305" s="17"/>
      <c r="E305" s="17"/>
      <c r="F305" s="17"/>
      <c r="G305" s="17"/>
      <c r="H305" s="17"/>
      <c r="I305" s="17"/>
      <c r="J305" s="17"/>
      <c r="K305" s="17"/>
    </row>
    <row r="306">
      <c r="A306" s="29"/>
      <c r="B306" s="24"/>
      <c r="C306" s="17"/>
      <c r="D306" s="17"/>
      <c r="E306" s="17"/>
      <c r="F306" s="17"/>
      <c r="G306" s="17"/>
      <c r="H306" s="17"/>
      <c r="I306" s="17"/>
      <c r="J306" s="17"/>
      <c r="K306" s="17"/>
    </row>
    <row r="307">
      <c r="A307" s="29"/>
      <c r="B307" s="24"/>
      <c r="C307" s="17"/>
      <c r="D307" s="17"/>
      <c r="E307" s="17"/>
      <c r="F307" s="17"/>
      <c r="G307" s="17"/>
      <c r="H307" s="17"/>
      <c r="I307" s="17"/>
      <c r="J307" s="17"/>
      <c r="K307" s="17"/>
    </row>
    <row r="308">
      <c r="A308" s="29"/>
      <c r="B308" s="24"/>
      <c r="C308" s="17"/>
      <c r="D308" s="17"/>
      <c r="E308" s="17"/>
      <c r="F308" s="17"/>
      <c r="G308" s="17"/>
      <c r="H308" s="17"/>
      <c r="I308" s="17"/>
      <c r="J308" s="17"/>
      <c r="K308" s="17"/>
    </row>
    <row r="309">
      <c r="A309" s="29"/>
      <c r="B309" s="24"/>
      <c r="C309" s="17"/>
      <c r="D309" s="17"/>
      <c r="E309" s="17"/>
      <c r="F309" s="17"/>
      <c r="G309" s="17"/>
      <c r="H309" s="17"/>
      <c r="I309" s="17"/>
      <c r="J309" s="17"/>
      <c r="K309" s="17"/>
    </row>
    <row r="310">
      <c r="A310" s="29"/>
      <c r="B310" s="24"/>
      <c r="C310" s="17"/>
      <c r="D310" s="17"/>
      <c r="E310" s="17"/>
      <c r="F310" s="17"/>
      <c r="G310" s="17"/>
      <c r="H310" s="17"/>
      <c r="I310" s="17"/>
      <c r="J310" s="17"/>
      <c r="K310" s="17"/>
    </row>
    <row r="311">
      <c r="A311" s="29"/>
      <c r="B311" s="24"/>
      <c r="C311" s="17"/>
      <c r="D311" s="17"/>
      <c r="E311" s="17"/>
      <c r="F311" s="17"/>
      <c r="G311" s="17"/>
      <c r="H311" s="17"/>
      <c r="I311" s="17"/>
      <c r="J311" s="17"/>
      <c r="K311" s="17"/>
    </row>
    <row r="312">
      <c r="A312" s="29"/>
      <c r="B312" s="24"/>
      <c r="C312" s="17"/>
      <c r="D312" s="17"/>
      <c r="E312" s="17"/>
      <c r="F312" s="17"/>
      <c r="G312" s="17"/>
      <c r="H312" s="17"/>
      <c r="I312" s="17"/>
      <c r="J312" s="17"/>
      <c r="K312" s="17"/>
    </row>
    <row r="313">
      <c r="A313" s="29"/>
      <c r="B313" s="24"/>
      <c r="C313" s="17"/>
      <c r="D313" s="17"/>
      <c r="E313" s="17"/>
      <c r="F313" s="17"/>
      <c r="G313" s="17"/>
      <c r="H313" s="17"/>
      <c r="I313" s="17"/>
      <c r="J313" s="17"/>
      <c r="K313" s="17"/>
    </row>
    <row r="314">
      <c r="A314" s="29"/>
      <c r="B314" s="24"/>
      <c r="C314" s="17"/>
      <c r="D314" s="17"/>
      <c r="E314" s="17"/>
      <c r="F314" s="17"/>
      <c r="G314" s="17"/>
      <c r="H314" s="17"/>
      <c r="I314" s="17"/>
      <c r="J314" s="17"/>
      <c r="K314" s="17"/>
    </row>
    <row r="315">
      <c r="A315" s="29"/>
      <c r="B315" s="24"/>
      <c r="C315" s="17"/>
      <c r="D315" s="17"/>
      <c r="E315" s="17"/>
      <c r="F315" s="17"/>
      <c r="G315" s="17"/>
      <c r="H315" s="17"/>
      <c r="I315" s="17"/>
      <c r="J315" s="17"/>
      <c r="K315" s="17"/>
    </row>
    <row r="316">
      <c r="A316" s="29"/>
      <c r="B316" s="24"/>
      <c r="C316" s="17"/>
      <c r="D316" s="17"/>
      <c r="E316" s="17"/>
      <c r="F316" s="17"/>
      <c r="G316" s="17"/>
      <c r="H316" s="17"/>
      <c r="I316" s="17"/>
      <c r="J316" s="17"/>
      <c r="K316" s="17"/>
    </row>
    <row r="317">
      <c r="A317" s="29"/>
      <c r="B317" s="24"/>
      <c r="C317" s="17"/>
      <c r="D317" s="17"/>
      <c r="E317" s="17"/>
      <c r="F317" s="17"/>
      <c r="G317" s="17"/>
      <c r="H317" s="17"/>
      <c r="I317" s="17"/>
      <c r="J317" s="17"/>
      <c r="K317" s="17"/>
    </row>
    <row r="318">
      <c r="A318" s="29"/>
      <c r="B318" s="24"/>
      <c r="C318" s="17"/>
      <c r="D318" s="17"/>
      <c r="E318" s="17"/>
      <c r="F318" s="17"/>
      <c r="G318" s="17"/>
      <c r="H318" s="17"/>
      <c r="I318" s="17"/>
      <c r="J318" s="17"/>
      <c r="K318" s="17"/>
    </row>
    <row r="319">
      <c r="A319" s="29"/>
      <c r="B319" s="24"/>
      <c r="C319" s="17"/>
      <c r="D319" s="17"/>
      <c r="E319" s="17"/>
      <c r="F319" s="17"/>
      <c r="G319" s="17"/>
      <c r="H319" s="17"/>
      <c r="I319" s="17"/>
      <c r="J319" s="17"/>
      <c r="K319" s="17"/>
    </row>
    <row r="320">
      <c r="A320" s="29"/>
      <c r="B320" s="24"/>
      <c r="C320" s="17"/>
      <c r="D320" s="17"/>
      <c r="E320" s="17"/>
      <c r="F320" s="17"/>
      <c r="G320" s="17"/>
      <c r="H320" s="17"/>
      <c r="I320" s="17"/>
      <c r="J320" s="17"/>
      <c r="K320" s="17"/>
    </row>
    <row r="321">
      <c r="A321" s="29"/>
      <c r="B321" s="24"/>
      <c r="C321" s="17"/>
      <c r="D321" s="17"/>
      <c r="E321" s="17"/>
      <c r="F321" s="17"/>
      <c r="G321" s="17"/>
      <c r="H321" s="17"/>
      <c r="I321" s="17"/>
      <c r="J321" s="17"/>
      <c r="K321" s="17"/>
    </row>
    <row r="322">
      <c r="A322" s="29"/>
      <c r="B322" s="24"/>
      <c r="C322" s="17"/>
      <c r="D322" s="17"/>
      <c r="E322" s="17"/>
      <c r="F322" s="17"/>
      <c r="G322" s="17"/>
      <c r="H322" s="17"/>
      <c r="I322" s="17"/>
      <c r="J322" s="17"/>
      <c r="K322" s="17"/>
    </row>
    <row r="323">
      <c r="A323" s="29"/>
      <c r="B323" s="24"/>
      <c r="C323" s="17"/>
      <c r="D323" s="17"/>
      <c r="E323" s="17"/>
      <c r="F323" s="17"/>
      <c r="G323" s="17"/>
      <c r="H323" s="17"/>
      <c r="I323" s="17"/>
      <c r="J323" s="17"/>
      <c r="K323" s="17"/>
    </row>
    <row r="324">
      <c r="A324" s="29"/>
      <c r="B324" s="24"/>
      <c r="C324" s="17"/>
      <c r="D324" s="17"/>
      <c r="E324" s="17"/>
      <c r="F324" s="17"/>
      <c r="G324" s="17"/>
      <c r="H324" s="17"/>
      <c r="I324" s="17"/>
      <c r="J324" s="17"/>
      <c r="K324" s="17"/>
    </row>
    <row r="325">
      <c r="A325" s="29"/>
      <c r="B325" s="24"/>
      <c r="C325" s="17"/>
      <c r="D325" s="17"/>
      <c r="E325" s="17"/>
      <c r="F325" s="17"/>
      <c r="G325" s="17"/>
      <c r="H325" s="17"/>
      <c r="I325" s="17"/>
      <c r="J325" s="17"/>
      <c r="K325" s="17"/>
    </row>
    <row r="326">
      <c r="A326" s="29"/>
      <c r="B326" s="24"/>
      <c r="C326" s="17"/>
      <c r="D326" s="17"/>
      <c r="E326" s="17"/>
      <c r="F326" s="17"/>
      <c r="G326" s="17"/>
      <c r="H326" s="17"/>
      <c r="I326" s="17"/>
      <c r="J326" s="17"/>
      <c r="K326" s="17"/>
    </row>
    <row r="327">
      <c r="A327" s="29"/>
      <c r="B327" s="24"/>
      <c r="C327" s="17"/>
      <c r="D327" s="17"/>
      <c r="E327" s="17"/>
      <c r="F327" s="17"/>
      <c r="G327" s="17"/>
      <c r="H327" s="17"/>
      <c r="I327" s="17"/>
      <c r="J327" s="17"/>
      <c r="K327" s="17"/>
    </row>
    <row r="328">
      <c r="A328" s="29"/>
      <c r="B328" s="24"/>
      <c r="C328" s="17"/>
      <c r="D328" s="17"/>
      <c r="E328" s="17"/>
      <c r="F328" s="17"/>
      <c r="G328" s="17"/>
      <c r="H328" s="17"/>
      <c r="I328" s="17"/>
      <c r="J328" s="17"/>
      <c r="K328" s="17"/>
    </row>
    <row r="329">
      <c r="A329" s="29"/>
      <c r="B329" s="24"/>
      <c r="C329" s="17"/>
      <c r="D329" s="17"/>
      <c r="E329" s="17"/>
      <c r="F329" s="17"/>
      <c r="G329" s="17"/>
      <c r="H329" s="17"/>
      <c r="I329" s="17"/>
      <c r="J329" s="17"/>
      <c r="K329" s="17"/>
    </row>
    <row r="330">
      <c r="A330" s="29"/>
      <c r="B330" s="24"/>
      <c r="C330" s="17"/>
      <c r="D330" s="17"/>
      <c r="E330" s="17"/>
      <c r="F330" s="17"/>
      <c r="G330" s="17"/>
      <c r="H330" s="17"/>
      <c r="I330" s="17"/>
      <c r="J330" s="17"/>
      <c r="K330" s="17"/>
    </row>
    <row r="331">
      <c r="A331" s="29"/>
      <c r="B331" s="24"/>
      <c r="C331" s="17"/>
      <c r="D331" s="17"/>
      <c r="E331" s="17"/>
      <c r="F331" s="17"/>
      <c r="G331" s="17"/>
      <c r="H331" s="17"/>
      <c r="I331" s="17"/>
      <c r="J331" s="17"/>
      <c r="K331" s="17"/>
    </row>
    <row r="332">
      <c r="A332" s="29"/>
      <c r="B332" s="24"/>
      <c r="C332" s="17"/>
      <c r="D332" s="17"/>
      <c r="E332" s="17"/>
      <c r="F332" s="17"/>
      <c r="G332" s="17"/>
      <c r="H332" s="17"/>
      <c r="I332" s="17"/>
      <c r="J332" s="17"/>
      <c r="K332" s="17"/>
    </row>
    <row r="333">
      <c r="A333" s="29"/>
      <c r="B333" s="24"/>
      <c r="C333" s="17"/>
      <c r="D333" s="17"/>
      <c r="E333" s="17"/>
      <c r="F333" s="17"/>
      <c r="G333" s="17"/>
      <c r="H333" s="17"/>
      <c r="I333" s="17"/>
      <c r="J333" s="17"/>
      <c r="K333" s="17"/>
    </row>
    <row r="334">
      <c r="A334" s="29"/>
      <c r="B334" s="24"/>
      <c r="C334" s="17"/>
      <c r="D334" s="17"/>
      <c r="E334" s="17"/>
      <c r="F334" s="17"/>
      <c r="G334" s="17"/>
      <c r="H334" s="17"/>
      <c r="I334" s="17"/>
      <c r="J334" s="17"/>
      <c r="K334" s="17"/>
    </row>
    <row r="335">
      <c r="A335" s="29"/>
      <c r="B335" s="24"/>
      <c r="C335" s="17"/>
      <c r="D335" s="17"/>
      <c r="E335" s="17"/>
      <c r="F335" s="17"/>
      <c r="G335" s="17"/>
      <c r="H335" s="17"/>
      <c r="I335" s="17"/>
      <c r="J335" s="17"/>
      <c r="K335" s="17"/>
    </row>
    <row r="336">
      <c r="A336" s="29"/>
      <c r="B336" s="24"/>
      <c r="C336" s="17"/>
      <c r="D336" s="17"/>
      <c r="E336" s="17"/>
      <c r="F336" s="17"/>
      <c r="G336" s="17"/>
      <c r="H336" s="17"/>
      <c r="I336" s="17"/>
      <c r="J336" s="17"/>
      <c r="K336" s="17"/>
    </row>
    <row r="337">
      <c r="A337" s="29"/>
      <c r="B337" s="24"/>
      <c r="C337" s="17"/>
      <c r="D337" s="17"/>
      <c r="E337" s="17"/>
      <c r="F337" s="17"/>
      <c r="G337" s="17"/>
      <c r="H337" s="17"/>
      <c r="I337" s="17"/>
      <c r="J337" s="17"/>
      <c r="K337" s="17"/>
    </row>
    <row r="338">
      <c r="A338" s="29"/>
      <c r="B338" s="24"/>
      <c r="C338" s="17"/>
      <c r="D338" s="17"/>
      <c r="E338" s="17"/>
      <c r="F338" s="17"/>
      <c r="G338" s="17"/>
      <c r="H338" s="17"/>
      <c r="I338" s="17"/>
      <c r="J338" s="17"/>
      <c r="K338" s="17"/>
    </row>
    <row r="339">
      <c r="A339" s="29"/>
      <c r="B339" s="24"/>
      <c r="C339" s="17"/>
      <c r="D339" s="17"/>
      <c r="E339" s="17"/>
      <c r="F339" s="17"/>
      <c r="G339" s="17"/>
      <c r="H339" s="17"/>
      <c r="I339" s="17"/>
      <c r="J339" s="17"/>
      <c r="K339" s="17"/>
    </row>
    <row r="340">
      <c r="A340" s="29"/>
      <c r="B340" s="24"/>
      <c r="C340" s="17"/>
      <c r="D340" s="17"/>
      <c r="E340" s="17"/>
      <c r="F340" s="17"/>
      <c r="G340" s="17"/>
      <c r="H340" s="17"/>
      <c r="I340" s="17"/>
      <c r="J340" s="17"/>
      <c r="K340" s="17"/>
    </row>
    <row r="341">
      <c r="A341" s="29"/>
      <c r="B341" s="24"/>
      <c r="C341" s="17"/>
      <c r="D341" s="17"/>
      <c r="E341" s="17"/>
      <c r="F341" s="17"/>
      <c r="G341" s="17"/>
      <c r="H341" s="17"/>
      <c r="I341" s="17"/>
      <c r="J341" s="17"/>
      <c r="K341" s="17"/>
    </row>
    <row r="342">
      <c r="A342" s="29"/>
      <c r="B342" s="24"/>
      <c r="C342" s="17"/>
      <c r="D342" s="17"/>
      <c r="E342" s="17"/>
      <c r="F342" s="17"/>
      <c r="G342" s="17"/>
      <c r="H342" s="17"/>
      <c r="I342" s="17"/>
      <c r="J342" s="17"/>
      <c r="K342" s="17"/>
    </row>
    <row r="343">
      <c r="A343" s="29"/>
      <c r="B343" s="24"/>
      <c r="C343" s="17"/>
      <c r="D343" s="17"/>
      <c r="E343" s="17"/>
      <c r="F343" s="17"/>
      <c r="G343" s="17"/>
      <c r="H343" s="17"/>
      <c r="I343" s="17"/>
      <c r="J343" s="17"/>
      <c r="K343" s="17"/>
    </row>
    <row r="344">
      <c r="A344" s="29"/>
      <c r="B344" s="24"/>
      <c r="C344" s="17"/>
      <c r="D344" s="17"/>
      <c r="E344" s="17"/>
      <c r="F344" s="17"/>
      <c r="G344" s="17"/>
      <c r="H344" s="17"/>
      <c r="I344" s="17"/>
      <c r="J344" s="17"/>
      <c r="K344" s="17"/>
    </row>
    <row r="345">
      <c r="A345" s="29"/>
      <c r="B345" s="24"/>
      <c r="C345" s="17"/>
      <c r="D345" s="17"/>
      <c r="E345" s="17"/>
      <c r="F345" s="17"/>
      <c r="G345" s="17"/>
      <c r="H345" s="17"/>
      <c r="I345" s="17"/>
      <c r="J345" s="17"/>
      <c r="K345" s="17"/>
    </row>
    <row r="346">
      <c r="A346" s="29"/>
      <c r="B346" s="24"/>
      <c r="C346" s="17"/>
      <c r="D346" s="17"/>
      <c r="E346" s="17"/>
      <c r="F346" s="17"/>
      <c r="G346" s="17"/>
      <c r="H346" s="17"/>
      <c r="I346" s="17"/>
      <c r="J346" s="17"/>
      <c r="K346" s="17"/>
    </row>
    <row r="347">
      <c r="A347" s="29"/>
      <c r="B347" s="24"/>
      <c r="C347" s="17"/>
      <c r="D347" s="17"/>
      <c r="E347" s="17"/>
      <c r="F347" s="17"/>
      <c r="G347" s="17"/>
      <c r="H347" s="17"/>
      <c r="I347" s="17"/>
      <c r="J347" s="17"/>
      <c r="K347" s="17"/>
    </row>
    <row r="348">
      <c r="A348" s="29"/>
      <c r="B348" s="24"/>
      <c r="C348" s="17"/>
      <c r="D348" s="17"/>
      <c r="E348" s="17"/>
      <c r="F348" s="17"/>
      <c r="G348" s="17"/>
      <c r="H348" s="17"/>
      <c r="I348" s="17"/>
      <c r="J348" s="17"/>
      <c r="K348" s="17"/>
    </row>
    <row r="349">
      <c r="A349" s="29"/>
      <c r="B349" s="24"/>
      <c r="C349" s="17"/>
      <c r="D349" s="17"/>
      <c r="E349" s="17"/>
      <c r="F349" s="17"/>
      <c r="G349" s="17"/>
      <c r="H349" s="17"/>
      <c r="I349" s="17"/>
      <c r="J349" s="17"/>
      <c r="K349" s="17"/>
    </row>
    <row r="350">
      <c r="A350" s="29"/>
      <c r="B350" s="24"/>
      <c r="C350" s="17"/>
      <c r="D350" s="17"/>
      <c r="E350" s="17"/>
      <c r="F350" s="17"/>
      <c r="G350" s="17"/>
      <c r="H350" s="17"/>
      <c r="I350" s="17"/>
      <c r="J350" s="17"/>
      <c r="K350" s="17"/>
    </row>
    <row r="351">
      <c r="A351" s="29"/>
      <c r="B351" s="24"/>
      <c r="C351" s="17"/>
      <c r="D351" s="17"/>
      <c r="E351" s="17"/>
      <c r="F351" s="17"/>
      <c r="G351" s="17"/>
      <c r="H351" s="17"/>
      <c r="I351" s="17"/>
      <c r="J351" s="17"/>
      <c r="K351" s="17"/>
    </row>
    <row r="352">
      <c r="A352" s="29"/>
      <c r="B352" s="24"/>
      <c r="C352" s="17"/>
      <c r="D352" s="17"/>
      <c r="E352" s="17"/>
      <c r="F352" s="17"/>
      <c r="G352" s="17"/>
      <c r="H352" s="17"/>
      <c r="I352" s="17"/>
      <c r="J352" s="17"/>
      <c r="K352" s="17"/>
    </row>
    <row r="353">
      <c r="A353" s="29"/>
      <c r="B353" s="24"/>
      <c r="C353" s="17"/>
      <c r="D353" s="17"/>
      <c r="E353" s="17"/>
      <c r="F353" s="17"/>
      <c r="G353" s="17"/>
      <c r="H353" s="17"/>
      <c r="I353" s="17"/>
      <c r="J353" s="17"/>
      <c r="K353" s="17"/>
    </row>
    <row r="354">
      <c r="A354" s="29"/>
      <c r="B354" s="24"/>
      <c r="C354" s="17"/>
      <c r="D354" s="17"/>
      <c r="E354" s="17"/>
      <c r="F354" s="17"/>
      <c r="G354" s="17"/>
      <c r="H354" s="17"/>
      <c r="I354" s="17"/>
      <c r="J354" s="17"/>
      <c r="K354" s="17"/>
    </row>
    <row r="355">
      <c r="A355" s="29"/>
      <c r="B355" s="24"/>
      <c r="C355" s="17"/>
      <c r="D355" s="17"/>
      <c r="E355" s="17"/>
      <c r="F355" s="17"/>
      <c r="G355" s="17"/>
      <c r="H355" s="17"/>
      <c r="I355" s="17"/>
      <c r="J355" s="17"/>
      <c r="K355" s="17"/>
    </row>
    <row r="356">
      <c r="A356" s="29"/>
      <c r="B356" s="24"/>
      <c r="C356" s="17"/>
      <c r="D356" s="17"/>
      <c r="E356" s="17"/>
      <c r="F356" s="17"/>
      <c r="G356" s="17"/>
      <c r="H356" s="17"/>
      <c r="I356" s="17"/>
      <c r="J356" s="17"/>
      <c r="K356" s="17"/>
    </row>
    <row r="357">
      <c r="A357" s="29"/>
      <c r="B357" s="24"/>
      <c r="C357" s="17"/>
      <c r="D357" s="17"/>
      <c r="E357" s="17"/>
      <c r="F357" s="17"/>
      <c r="G357" s="17"/>
      <c r="H357" s="17"/>
      <c r="I357" s="17"/>
      <c r="J357" s="17"/>
      <c r="K357" s="17"/>
    </row>
    <row r="358">
      <c r="A358" s="29"/>
      <c r="B358" s="24"/>
      <c r="C358" s="17"/>
      <c r="D358" s="17"/>
      <c r="E358" s="17"/>
      <c r="F358" s="17"/>
      <c r="G358" s="17"/>
      <c r="H358" s="17"/>
      <c r="I358" s="17"/>
      <c r="J358" s="17"/>
      <c r="K358" s="17"/>
    </row>
    <row r="359">
      <c r="A359" s="29"/>
      <c r="B359" s="24"/>
      <c r="C359" s="17"/>
      <c r="D359" s="17"/>
      <c r="E359" s="17"/>
      <c r="F359" s="17"/>
      <c r="G359" s="17"/>
      <c r="H359" s="17"/>
      <c r="I359" s="17"/>
      <c r="J359" s="17"/>
      <c r="K359" s="17"/>
    </row>
    <row r="360">
      <c r="A360" s="29"/>
      <c r="B360" s="24"/>
      <c r="C360" s="17"/>
      <c r="D360" s="17"/>
      <c r="E360" s="17"/>
      <c r="F360" s="17"/>
      <c r="G360" s="17"/>
      <c r="H360" s="17"/>
      <c r="I360" s="17"/>
      <c r="J360" s="17"/>
      <c r="K360" s="17"/>
    </row>
    <row r="361">
      <c r="A361" s="29"/>
      <c r="B361" s="24"/>
      <c r="C361" s="17"/>
      <c r="D361" s="17"/>
      <c r="E361" s="17"/>
      <c r="F361" s="17"/>
      <c r="G361" s="17"/>
      <c r="H361" s="17"/>
      <c r="I361" s="17"/>
      <c r="J361" s="17"/>
      <c r="K361" s="17"/>
    </row>
    <row r="362">
      <c r="A362" s="29"/>
      <c r="B362" s="24"/>
      <c r="C362" s="17"/>
      <c r="D362" s="17"/>
      <c r="E362" s="17"/>
      <c r="F362" s="17"/>
      <c r="G362" s="17"/>
      <c r="H362" s="17"/>
      <c r="I362" s="17"/>
      <c r="J362" s="17"/>
      <c r="K362" s="17"/>
    </row>
    <row r="363">
      <c r="A363" s="29"/>
      <c r="B363" s="24"/>
      <c r="C363" s="17"/>
      <c r="D363" s="17"/>
      <c r="E363" s="17"/>
      <c r="F363" s="17"/>
      <c r="G363" s="17"/>
      <c r="H363" s="17"/>
      <c r="I363" s="17"/>
      <c r="J363" s="17"/>
      <c r="K363" s="17"/>
    </row>
    <row r="364">
      <c r="A364" s="29"/>
      <c r="B364" s="24"/>
      <c r="C364" s="17"/>
      <c r="D364" s="17"/>
      <c r="E364" s="17"/>
      <c r="F364" s="17"/>
      <c r="G364" s="17"/>
      <c r="H364" s="17"/>
      <c r="I364" s="17"/>
      <c r="J364" s="17"/>
      <c r="K364" s="17"/>
    </row>
    <row r="365">
      <c r="A365" s="29"/>
      <c r="B365" s="24"/>
      <c r="C365" s="17"/>
      <c r="D365" s="17"/>
      <c r="E365" s="17"/>
      <c r="F365" s="17"/>
      <c r="G365" s="17"/>
      <c r="H365" s="17"/>
      <c r="I365" s="17"/>
      <c r="J365" s="17"/>
      <c r="K365" s="17"/>
    </row>
    <row r="366">
      <c r="A366" s="29"/>
      <c r="B366" s="24"/>
      <c r="C366" s="17"/>
      <c r="D366" s="17"/>
      <c r="E366" s="17"/>
      <c r="F366" s="17"/>
      <c r="G366" s="17"/>
      <c r="H366" s="17"/>
      <c r="I366" s="17"/>
      <c r="J366" s="17"/>
      <c r="K366" s="17"/>
    </row>
    <row r="367">
      <c r="A367" s="29"/>
      <c r="B367" s="24"/>
      <c r="C367" s="17"/>
      <c r="D367" s="17"/>
      <c r="E367" s="17"/>
      <c r="F367" s="17"/>
      <c r="G367" s="17"/>
      <c r="H367" s="17"/>
      <c r="I367" s="17"/>
      <c r="J367" s="17"/>
      <c r="K367" s="17"/>
    </row>
    <row r="368">
      <c r="A368" s="29"/>
      <c r="B368" s="24"/>
      <c r="C368" s="17"/>
      <c r="D368" s="17"/>
      <c r="E368" s="17"/>
      <c r="F368" s="17"/>
      <c r="G368" s="17"/>
      <c r="H368" s="17"/>
      <c r="I368" s="17"/>
      <c r="J368" s="17"/>
      <c r="K368" s="17"/>
    </row>
    <row r="369">
      <c r="A369" s="29"/>
      <c r="B369" s="24"/>
      <c r="C369" s="17"/>
      <c r="D369" s="17"/>
      <c r="E369" s="17"/>
      <c r="F369" s="17"/>
      <c r="G369" s="17"/>
      <c r="H369" s="17"/>
      <c r="I369" s="17"/>
      <c r="J369" s="17"/>
      <c r="K369" s="17"/>
    </row>
    <row r="370">
      <c r="A370" s="29"/>
      <c r="B370" s="24"/>
      <c r="C370" s="17"/>
      <c r="D370" s="17"/>
      <c r="E370" s="17"/>
      <c r="F370" s="17"/>
      <c r="G370" s="17"/>
      <c r="H370" s="17"/>
      <c r="I370" s="17"/>
      <c r="J370" s="17"/>
      <c r="K370" s="17"/>
    </row>
    <row r="371">
      <c r="A371" s="29"/>
      <c r="B371" s="24"/>
      <c r="C371" s="17"/>
      <c r="D371" s="17"/>
      <c r="E371" s="17"/>
      <c r="F371" s="17"/>
      <c r="G371" s="17"/>
      <c r="H371" s="17"/>
      <c r="I371" s="17"/>
      <c r="J371" s="17"/>
      <c r="K371" s="17"/>
    </row>
    <row r="372">
      <c r="A372" s="29"/>
      <c r="B372" s="24"/>
      <c r="C372" s="17"/>
      <c r="D372" s="17"/>
      <c r="E372" s="17"/>
      <c r="F372" s="17"/>
      <c r="G372" s="17"/>
      <c r="H372" s="17"/>
      <c r="I372" s="17"/>
      <c r="J372" s="17"/>
      <c r="K372" s="17"/>
    </row>
    <row r="373">
      <c r="A373" s="29"/>
      <c r="B373" s="24"/>
      <c r="C373" s="17"/>
      <c r="D373" s="17"/>
      <c r="E373" s="17"/>
      <c r="F373" s="17"/>
      <c r="G373" s="17"/>
      <c r="H373" s="17"/>
      <c r="I373" s="17"/>
      <c r="J373" s="17"/>
      <c r="K373" s="17"/>
    </row>
    <row r="374">
      <c r="A374" s="29"/>
      <c r="B374" s="24"/>
      <c r="C374" s="17"/>
      <c r="D374" s="17"/>
      <c r="E374" s="17"/>
      <c r="F374" s="17"/>
      <c r="G374" s="17"/>
      <c r="H374" s="17"/>
      <c r="I374" s="17"/>
      <c r="J374" s="17"/>
      <c r="K374" s="17"/>
    </row>
    <row r="375">
      <c r="A375" s="29"/>
      <c r="B375" s="24"/>
      <c r="C375" s="17"/>
      <c r="D375" s="17"/>
      <c r="E375" s="17"/>
      <c r="F375" s="17"/>
      <c r="G375" s="17"/>
      <c r="H375" s="17"/>
      <c r="I375" s="17"/>
      <c r="J375" s="17"/>
      <c r="K375" s="17"/>
    </row>
    <row r="376">
      <c r="A376" s="29"/>
      <c r="B376" s="24"/>
      <c r="C376" s="17"/>
      <c r="D376" s="17"/>
      <c r="E376" s="17"/>
      <c r="F376" s="17"/>
      <c r="G376" s="17"/>
      <c r="H376" s="17"/>
      <c r="I376" s="17"/>
      <c r="J376" s="17"/>
      <c r="K376" s="17"/>
    </row>
    <row r="377">
      <c r="A377" s="29"/>
      <c r="B377" s="24"/>
      <c r="C377" s="17"/>
      <c r="D377" s="17"/>
      <c r="E377" s="17"/>
      <c r="F377" s="17"/>
      <c r="G377" s="17"/>
      <c r="H377" s="17"/>
      <c r="I377" s="17"/>
      <c r="J377" s="17"/>
      <c r="K377" s="17"/>
    </row>
    <row r="378">
      <c r="A378" s="29"/>
      <c r="B378" s="24"/>
      <c r="C378" s="17"/>
      <c r="D378" s="17"/>
      <c r="E378" s="17"/>
      <c r="F378" s="17"/>
      <c r="G378" s="17"/>
      <c r="H378" s="17"/>
      <c r="I378" s="17"/>
      <c r="J378" s="17"/>
      <c r="K378" s="17"/>
    </row>
    <row r="379">
      <c r="A379" s="29"/>
      <c r="B379" s="24"/>
      <c r="C379" s="17"/>
      <c r="D379" s="17"/>
      <c r="E379" s="17"/>
      <c r="F379" s="17"/>
      <c r="G379" s="17"/>
      <c r="H379" s="17"/>
      <c r="I379" s="17"/>
      <c r="J379" s="17"/>
      <c r="K379" s="17"/>
    </row>
    <row r="380">
      <c r="A380" s="29"/>
      <c r="B380" s="24"/>
      <c r="C380" s="17"/>
      <c r="D380" s="17"/>
      <c r="E380" s="17"/>
      <c r="F380" s="17"/>
      <c r="G380" s="17"/>
      <c r="H380" s="17"/>
      <c r="I380" s="17"/>
      <c r="J380" s="17"/>
      <c r="K380" s="17"/>
    </row>
    <row r="381">
      <c r="A381" s="29"/>
      <c r="B381" s="24"/>
      <c r="C381" s="17"/>
      <c r="D381" s="17"/>
      <c r="E381" s="17"/>
      <c r="F381" s="17"/>
      <c r="G381" s="17"/>
      <c r="H381" s="17"/>
      <c r="I381" s="17"/>
      <c r="J381" s="17"/>
      <c r="K381" s="17"/>
    </row>
    <row r="382">
      <c r="A382" s="29"/>
      <c r="B382" s="24"/>
      <c r="C382" s="17"/>
      <c r="D382" s="17"/>
      <c r="E382" s="17"/>
      <c r="F382" s="17"/>
      <c r="G382" s="17"/>
      <c r="H382" s="17"/>
      <c r="I382" s="17"/>
      <c r="J382" s="17"/>
      <c r="K382" s="17"/>
    </row>
    <row r="383">
      <c r="A383" s="29"/>
      <c r="B383" s="24"/>
      <c r="C383" s="17"/>
      <c r="D383" s="17"/>
      <c r="E383" s="17"/>
      <c r="F383" s="17"/>
      <c r="G383" s="17"/>
      <c r="H383" s="17"/>
      <c r="I383" s="17"/>
      <c r="J383" s="17"/>
      <c r="K383" s="17"/>
    </row>
    <row r="384">
      <c r="A384" s="29"/>
      <c r="B384" s="24"/>
      <c r="C384" s="17"/>
      <c r="D384" s="17"/>
      <c r="E384" s="17"/>
      <c r="F384" s="17"/>
      <c r="G384" s="17"/>
      <c r="H384" s="17"/>
      <c r="I384" s="17"/>
      <c r="J384" s="17"/>
      <c r="K384" s="17"/>
    </row>
    <row r="385">
      <c r="A385" s="29"/>
      <c r="B385" s="24"/>
      <c r="C385" s="17"/>
      <c r="D385" s="17"/>
      <c r="E385" s="17"/>
      <c r="F385" s="17"/>
      <c r="G385" s="17"/>
      <c r="H385" s="17"/>
      <c r="I385" s="17"/>
      <c r="J385" s="17"/>
      <c r="K385" s="17"/>
    </row>
    <row r="386">
      <c r="A386" s="29"/>
      <c r="B386" s="24"/>
      <c r="C386" s="17"/>
      <c r="D386" s="17"/>
      <c r="E386" s="17"/>
      <c r="F386" s="17"/>
      <c r="G386" s="17"/>
      <c r="H386" s="17"/>
      <c r="I386" s="17"/>
      <c r="J386" s="17"/>
      <c r="K386" s="17"/>
    </row>
    <row r="387">
      <c r="A387" s="29"/>
      <c r="B387" s="24"/>
      <c r="C387" s="17"/>
      <c r="D387" s="17"/>
      <c r="E387" s="17"/>
      <c r="F387" s="17"/>
      <c r="G387" s="17"/>
      <c r="H387" s="17"/>
      <c r="I387" s="17"/>
      <c r="J387" s="17"/>
      <c r="K387" s="17"/>
    </row>
    <row r="388">
      <c r="A388" s="29"/>
      <c r="B388" s="24"/>
      <c r="C388" s="17"/>
      <c r="D388" s="17"/>
      <c r="E388" s="17"/>
      <c r="F388" s="17"/>
      <c r="G388" s="17"/>
      <c r="H388" s="17"/>
      <c r="I388" s="17"/>
      <c r="J388" s="17"/>
      <c r="K388" s="17"/>
    </row>
    <row r="389">
      <c r="A389" s="29"/>
      <c r="B389" s="24"/>
      <c r="C389" s="17"/>
      <c r="D389" s="17"/>
      <c r="E389" s="17"/>
      <c r="F389" s="17"/>
      <c r="G389" s="17"/>
      <c r="H389" s="17"/>
      <c r="I389" s="17"/>
      <c r="J389" s="17"/>
      <c r="K389" s="17"/>
    </row>
    <row r="390">
      <c r="A390" s="29"/>
      <c r="B390" s="24"/>
      <c r="C390" s="17"/>
      <c r="D390" s="17"/>
      <c r="E390" s="17"/>
      <c r="F390" s="17"/>
      <c r="G390" s="17"/>
      <c r="H390" s="17"/>
      <c r="I390" s="17"/>
      <c r="J390" s="17"/>
      <c r="K390" s="17"/>
    </row>
    <row r="391">
      <c r="A391" s="29"/>
      <c r="B391" s="24"/>
      <c r="C391" s="17"/>
      <c r="D391" s="17"/>
      <c r="E391" s="17"/>
      <c r="F391" s="17"/>
      <c r="G391" s="17"/>
      <c r="H391" s="17"/>
      <c r="I391" s="17"/>
      <c r="J391" s="17"/>
      <c r="K391" s="17"/>
    </row>
    <row r="392">
      <c r="A392" s="29"/>
      <c r="B392" s="24"/>
      <c r="C392" s="17"/>
      <c r="D392" s="17"/>
      <c r="E392" s="17"/>
      <c r="F392" s="17"/>
      <c r="G392" s="17"/>
      <c r="H392" s="17"/>
      <c r="I392" s="17"/>
      <c r="J392" s="17"/>
      <c r="K392" s="17"/>
    </row>
    <row r="393">
      <c r="A393" s="29"/>
      <c r="B393" s="24"/>
      <c r="C393" s="17"/>
      <c r="D393" s="17"/>
      <c r="E393" s="17"/>
      <c r="F393" s="17"/>
      <c r="G393" s="17"/>
      <c r="H393" s="17"/>
      <c r="I393" s="17"/>
      <c r="J393" s="17"/>
      <c r="K393" s="17"/>
    </row>
    <row r="394">
      <c r="A394" s="29"/>
      <c r="B394" s="24"/>
      <c r="C394" s="17"/>
      <c r="D394" s="17"/>
      <c r="E394" s="17"/>
      <c r="F394" s="17"/>
      <c r="G394" s="17"/>
      <c r="H394" s="17"/>
      <c r="I394" s="17"/>
      <c r="J394" s="17"/>
      <c r="K394" s="17"/>
    </row>
    <row r="395">
      <c r="A395" s="29"/>
      <c r="B395" s="24"/>
      <c r="C395" s="17"/>
      <c r="D395" s="17"/>
      <c r="E395" s="17"/>
      <c r="F395" s="17"/>
      <c r="G395" s="17"/>
      <c r="H395" s="17"/>
      <c r="I395" s="17"/>
      <c r="J395" s="17"/>
      <c r="K395" s="17"/>
    </row>
    <row r="396">
      <c r="A396" s="29"/>
      <c r="B396" s="24"/>
      <c r="C396" s="17"/>
      <c r="D396" s="17"/>
      <c r="E396" s="17"/>
      <c r="F396" s="17"/>
      <c r="G396" s="17"/>
      <c r="H396" s="17"/>
      <c r="I396" s="17"/>
      <c r="J396" s="17"/>
      <c r="K396" s="17"/>
    </row>
    <row r="397">
      <c r="A397" s="29"/>
      <c r="B397" s="24"/>
      <c r="C397" s="17"/>
      <c r="D397" s="17"/>
      <c r="E397" s="17"/>
      <c r="F397" s="17"/>
      <c r="G397" s="17"/>
      <c r="H397" s="17"/>
      <c r="I397" s="17"/>
      <c r="J397" s="17"/>
      <c r="K397" s="17"/>
    </row>
    <row r="398">
      <c r="A398" s="29"/>
      <c r="B398" s="24"/>
      <c r="C398" s="17"/>
      <c r="D398" s="17"/>
      <c r="E398" s="17"/>
      <c r="F398" s="17"/>
      <c r="G398" s="17"/>
      <c r="H398" s="17"/>
      <c r="I398" s="17"/>
      <c r="J398" s="17"/>
      <c r="K398" s="17"/>
    </row>
    <row r="399">
      <c r="A399" s="29"/>
      <c r="B399" s="24"/>
      <c r="C399" s="17"/>
      <c r="D399" s="17"/>
      <c r="E399" s="17"/>
      <c r="F399" s="17"/>
      <c r="G399" s="17"/>
      <c r="H399" s="17"/>
      <c r="I399" s="17"/>
      <c r="J399" s="17"/>
      <c r="K399" s="17"/>
    </row>
    <row r="400">
      <c r="A400" s="29"/>
      <c r="B400" s="24"/>
      <c r="C400" s="17"/>
      <c r="D400" s="17"/>
      <c r="E400" s="17"/>
      <c r="F400" s="17"/>
      <c r="G400" s="17"/>
      <c r="H400" s="17"/>
      <c r="I400" s="17"/>
      <c r="J400" s="17"/>
      <c r="K400" s="17"/>
    </row>
    <row r="401">
      <c r="A401" s="29"/>
      <c r="B401" s="24"/>
      <c r="C401" s="17"/>
      <c r="D401" s="17"/>
      <c r="E401" s="17"/>
      <c r="F401" s="17"/>
      <c r="G401" s="17"/>
      <c r="H401" s="17"/>
      <c r="I401" s="17"/>
      <c r="J401" s="17"/>
      <c r="K401" s="17"/>
    </row>
    <row r="402">
      <c r="A402" s="29"/>
      <c r="B402" s="24"/>
      <c r="C402" s="17"/>
      <c r="D402" s="17"/>
      <c r="E402" s="17"/>
      <c r="F402" s="17"/>
      <c r="G402" s="17"/>
      <c r="H402" s="17"/>
      <c r="I402" s="17"/>
      <c r="J402" s="17"/>
      <c r="K402" s="17"/>
    </row>
    <row r="403">
      <c r="A403" s="29"/>
      <c r="B403" s="24"/>
      <c r="C403" s="17"/>
      <c r="D403" s="17"/>
      <c r="E403" s="17"/>
      <c r="F403" s="17"/>
      <c r="G403" s="17"/>
      <c r="H403" s="17"/>
      <c r="I403" s="17"/>
      <c r="J403" s="17"/>
      <c r="K403" s="17"/>
    </row>
    <row r="404">
      <c r="A404" s="29"/>
      <c r="B404" s="24"/>
      <c r="C404" s="17"/>
      <c r="D404" s="17"/>
      <c r="E404" s="17"/>
      <c r="F404" s="17"/>
      <c r="G404" s="17"/>
      <c r="H404" s="17"/>
      <c r="I404" s="17"/>
      <c r="J404" s="17"/>
      <c r="K404" s="17"/>
    </row>
    <row r="405">
      <c r="A405" s="29"/>
      <c r="B405" s="24"/>
      <c r="C405" s="17"/>
      <c r="D405" s="17"/>
      <c r="E405" s="17"/>
      <c r="F405" s="17"/>
      <c r="G405" s="17"/>
      <c r="H405" s="17"/>
      <c r="I405" s="17"/>
      <c r="J405" s="17"/>
      <c r="K405" s="17"/>
    </row>
    <row r="406">
      <c r="A406" s="29"/>
      <c r="B406" s="24"/>
      <c r="C406" s="17"/>
      <c r="D406" s="17"/>
      <c r="E406" s="17"/>
      <c r="F406" s="17"/>
      <c r="G406" s="17"/>
      <c r="H406" s="17"/>
      <c r="I406" s="17"/>
      <c r="J406" s="17"/>
      <c r="K406" s="17"/>
    </row>
    <row r="407">
      <c r="A407" s="29"/>
      <c r="B407" s="24"/>
      <c r="C407" s="17"/>
      <c r="D407" s="17"/>
      <c r="E407" s="17"/>
      <c r="F407" s="17"/>
      <c r="G407" s="17"/>
      <c r="H407" s="17"/>
      <c r="I407" s="17"/>
      <c r="J407" s="17"/>
      <c r="K407" s="17"/>
    </row>
    <row r="408">
      <c r="A408" s="29"/>
      <c r="B408" s="24"/>
      <c r="C408" s="17"/>
      <c r="D408" s="17"/>
      <c r="E408" s="17"/>
      <c r="F408" s="17"/>
      <c r="G408" s="17"/>
      <c r="H408" s="17"/>
      <c r="I408" s="17"/>
      <c r="J408" s="17"/>
      <c r="K408" s="17"/>
    </row>
    <row r="409">
      <c r="A409" s="29"/>
      <c r="B409" s="24"/>
      <c r="C409" s="17"/>
      <c r="D409" s="17"/>
      <c r="E409" s="17"/>
      <c r="F409" s="17"/>
      <c r="G409" s="17"/>
      <c r="H409" s="17"/>
      <c r="I409" s="17"/>
      <c r="J409" s="17"/>
      <c r="K409" s="17"/>
    </row>
    <row r="410">
      <c r="A410" s="29"/>
      <c r="B410" s="24"/>
      <c r="C410" s="17"/>
      <c r="D410" s="17"/>
      <c r="E410" s="17"/>
      <c r="F410" s="17"/>
      <c r="G410" s="17"/>
      <c r="H410" s="17"/>
      <c r="I410" s="17"/>
      <c r="J410" s="17"/>
      <c r="K410" s="17"/>
    </row>
    <row r="411">
      <c r="A411" s="29"/>
      <c r="B411" s="24"/>
      <c r="C411" s="17"/>
      <c r="D411" s="17"/>
      <c r="E411" s="17"/>
      <c r="F411" s="17"/>
      <c r="G411" s="17"/>
      <c r="H411" s="17"/>
      <c r="I411" s="17"/>
      <c r="J411" s="17"/>
      <c r="K411" s="17"/>
    </row>
    <row r="412">
      <c r="A412" s="29"/>
      <c r="B412" s="24"/>
      <c r="C412" s="17"/>
      <c r="D412" s="17"/>
      <c r="E412" s="17"/>
      <c r="F412" s="17"/>
      <c r="G412" s="17"/>
      <c r="H412" s="17"/>
      <c r="I412" s="17"/>
      <c r="J412" s="17"/>
      <c r="K412" s="17"/>
    </row>
    <row r="413">
      <c r="A413" s="29"/>
      <c r="B413" s="24"/>
      <c r="C413" s="17"/>
      <c r="D413" s="17"/>
      <c r="E413" s="17"/>
      <c r="F413" s="17"/>
      <c r="G413" s="17"/>
      <c r="H413" s="17"/>
      <c r="I413" s="17"/>
      <c r="J413" s="17"/>
      <c r="K413" s="17"/>
    </row>
    <row r="414">
      <c r="A414" s="29"/>
      <c r="B414" s="24"/>
      <c r="C414" s="17"/>
      <c r="D414" s="17"/>
      <c r="E414" s="17"/>
      <c r="F414" s="17"/>
      <c r="G414" s="17"/>
      <c r="H414" s="17"/>
      <c r="I414" s="17"/>
      <c r="J414" s="17"/>
      <c r="K414" s="17"/>
    </row>
    <row r="415">
      <c r="A415" s="29"/>
      <c r="B415" s="24"/>
      <c r="C415" s="17"/>
      <c r="D415" s="17"/>
      <c r="E415" s="17"/>
      <c r="F415" s="17"/>
      <c r="G415" s="17"/>
      <c r="H415" s="17"/>
      <c r="I415" s="17"/>
      <c r="J415" s="17"/>
      <c r="K415" s="17"/>
    </row>
    <row r="416">
      <c r="A416" s="29"/>
      <c r="B416" s="24"/>
      <c r="C416" s="17"/>
      <c r="D416" s="17"/>
      <c r="E416" s="17"/>
      <c r="F416" s="17"/>
      <c r="G416" s="17"/>
      <c r="H416" s="17"/>
      <c r="I416" s="17"/>
      <c r="J416" s="17"/>
      <c r="K416" s="17"/>
    </row>
    <row r="417">
      <c r="A417" s="29"/>
      <c r="B417" s="24"/>
      <c r="C417" s="17"/>
      <c r="D417" s="17"/>
      <c r="E417" s="17"/>
      <c r="F417" s="17"/>
      <c r="G417" s="17"/>
      <c r="H417" s="17"/>
      <c r="I417" s="17"/>
      <c r="J417" s="17"/>
      <c r="K417" s="17"/>
    </row>
    <row r="418">
      <c r="A418" s="29"/>
      <c r="B418" s="24"/>
      <c r="C418" s="17"/>
      <c r="D418" s="17"/>
      <c r="E418" s="17"/>
      <c r="F418" s="17"/>
      <c r="G418" s="17"/>
      <c r="H418" s="17"/>
      <c r="I418" s="17"/>
      <c r="J418" s="17"/>
      <c r="K418" s="17"/>
    </row>
    <row r="419">
      <c r="A419" s="29"/>
      <c r="B419" s="24"/>
      <c r="C419" s="17"/>
      <c r="D419" s="17"/>
      <c r="E419" s="17"/>
      <c r="F419" s="17"/>
      <c r="G419" s="17"/>
      <c r="H419" s="17"/>
      <c r="I419" s="17"/>
      <c r="J419" s="17"/>
      <c r="K419" s="17"/>
    </row>
    <row r="420">
      <c r="A420" s="29"/>
      <c r="B420" s="24"/>
      <c r="C420" s="17"/>
      <c r="D420" s="17"/>
      <c r="E420" s="17"/>
      <c r="F420" s="17"/>
      <c r="G420" s="17"/>
      <c r="H420" s="17"/>
      <c r="I420" s="17"/>
      <c r="J420" s="17"/>
      <c r="K420" s="17"/>
    </row>
    <row r="421">
      <c r="A421" s="29"/>
      <c r="B421" s="24"/>
      <c r="C421" s="17"/>
      <c r="D421" s="17"/>
      <c r="E421" s="17"/>
      <c r="F421" s="17"/>
      <c r="G421" s="17"/>
      <c r="H421" s="17"/>
      <c r="I421" s="17"/>
      <c r="J421" s="17"/>
      <c r="K421" s="17"/>
    </row>
    <row r="422">
      <c r="A422" s="29"/>
      <c r="B422" s="24"/>
      <c r="C422" s="17"/>
      <c r="D422" s="17"/>
      <c r="E422" s="17"/>
      <c r="F422" s="17"/>
      <c r="G422" s="17"/>
      <c r="H422" s="17"/>
      <c r="I422" s="17"/>
      <c r="J422" s="17"/>
      <c r="K422" s="17"/>
    </row>
    <row r="423">
      <c r="A423" s="29"/>
      <c r="B423" s="24"/>
      <c r="C423" s="17"/>
      <c r="D423" s="17"/>
      <c r="E423" s="17"/>
      <c r="F423" s="17"/>
      <c r="G423" s="17"/>
      <c r="H423" s="17"/>
      <c r="I423" s="17"/>
      <c r="J423" s="17"/>
      <c r="K423" s="17"/>
    </row>
    <row r="424">
      <c r="A424" s="29"/>
      <c r="B424" s="24"/>
      <c r="C424" s="17"/>
      <c r="D424" s="17"/>
      <c r="E424" s="17"/>
      <c r="F424" s="17"/>
      <c r="G424" s="17"/>
      <c r="H424" s="17"/>
      <c r="I424" s="17"/>
      <c r="J424" s="17"/>
      <c r="K424" s="17"/>
    </row>
    <row r="425">
      <c r="A425" s="29"/>
      <c r="B425" s="24"/>
      <c r="C425" s="17"/>
      <c r="D425" s="17"/>
      <c r="E425" s="17"/>
      <c r="F425" s="17"/>
      <c r="G425" s="17"/>
      <c r="H425" s="17"/>
      <c r="I425" s="17"/>
      <c r="J425" s="17"/>
      <c r="K425" s="17"/>
    </row>
    <row r="426">
      <c r="A426" s="29"/>
      <c r="B426" s="24"/>
      <c r="C426" s="17"/>
      <c r="D426" s="17"/>
      <c r="E426" s="17"/>
      <c r="F426" s="17"/>
      <c r="G426" s="17"/>
      <c r="H426" s="17"/>
      <c r="I426" s="17"/>
      <c r="J426" s="17"/>
      <c r="K426" s="17"/>
    </row>
    <row r="427">
      <c r="A427" s="29"/>
      <c r="B427" s="24"/>
      <c r="C427" s="17"/>
      <c r="D427" s="17"/>
      <c r="E427" s="17"/>
      <c r="F427" s="17"/>
      <c r="G427" s="17"/>
      <c r="H427" s="17"/>
      <c r="I427" s="17"/>
      <c r="J427" s="17"/>
      <c r="K427" s="17"/>
    </row>
    <row r="428">
      <c r="A428" s="29"/>
      <c r="B428" s="24"/>
      <c r="C428" s="17"/>
      <c r="D428" s="17"/>
      <c r="E428" s="17"/>
      <c r="F428" s="17"/>
      <c r="G428" s="17"/>
      <c r="H428" s="17"/>
      <c r="I428" s="17"/>
      <c r="J428" s="17"/>
      <c r="K428" s="17"/>
    </row>
    <row r="429">
      <c r="A429" s="29"/>
      <c r="B429" s="24"/>
      <c r="C429" s="17"/>
      <c r="D429" s="17"/>
      <c r="E429" s="17"/>
      <c r="F429" s="17"/>
      <c r="G429" s="17"/>
      <c r="H429" s="17"/>
      <c r="I429" s="17"/>
      <c r="J429" s="17"/>
      <c r="K429" s="17"/>
    </row>
    <row r="430">
      <c r="A430" s="29"/>
      <c r="B430" s="24"/>
      <c r="C430" s="17"/>
      <c r="D430" s="17"/>
      <c r="E430" s="17"/>
      <c r="F430" s="17"/>
      <c r="G430" s="17"/>
      <c r="H430" s="17"/>
      <c r="I430" s="17"/>
      <c r="J430" s="17"/>
      <c r="K430" s="17"/>
    </row>
    <row r="431">
      <c r="A431" s="29"/>
      <c r="B431" s="24"/>
      <c r="C431" s="17"/>
      <c r="D431" s="17"/>
      <c r="E431" s="17"/>
      <c r="F431" s="17"/>
      <c r="G431" s="17"/>
      <c r="H431" s="17"/>
      <c r="I431" s="17"/>
      <c r="J431" s="17"/>
      <c r="K431" s="17"/>
    </row>
    <row r="432">
      <c r="A432" s="29"/>
      <c r="B432" s="24"/>
      <c r="C432" s="17"/>
      <c r="D432" s="17"/>
      <c r="E432" s="17"/>
      <c r="F432" s="17"/>
      <c r="G432" s="17"/>
      <c r="H432" s="17"/>
      <c r="I432" s="17"/>
      <c r="J432" s="17"/>
      <c r="K432" s="17"/>
    </row>
    <row r="433">
      <c r="A433" s="29"/>
      <c r="B433" s="24"/>
      <c r="C433" s="17"/>
      <c r="D433" s="17"/>
      <c r="E433" s="17"/>
      <c r="F433" s="17"/>
      <c r="G433" s="17"/>
      <c r="H433" s="17"/>
      <c r="I433" s="17"/>
      <c r="J433" s="17"/>
      <c r="K433" s="17"/>
    </row>
    <row r="434">
      <c r="A434" s="29"/>
      <c r="B434" s="24"/>
      <c r="C434" s="17"/>
      <c r="D434" s="17"/>
      <c r="E434" s="17"/>
      <c r="F434" s="17"/>
      <c r="G434" s="17"/>
      <c r="H434" s="17"/>
      <c r="I434" s="17"/>
      <c r="J434" s="17"/>
      <c r="K434" s="17"/>
    </row>
    <row r="435">
      <c r="A435" s="29"/>
      <c r="B435" s="24"/>
      <c r="C435" s="17"/>
      <c r="D435" s="17"/>
      <c r="E435" s="17"/>
      <c r="F435" s="17"/>
      <c r="G435" s="17"/>
      <c r="H435" s="17"/>
      <c r="I435" s="17"/>
      <c r="J435" s="17"/>
      <c r="K435" s="17"/>
    </row>
    <row r="436">
      <c r="A436" s="29"/>
      <c r="B436" s="24"/>
      <c r="C436" s="17"/>
      <c r="D436" s="17"/>
      <c r="E436" s="17"/>
      <c r="F436" s="17"/>
      <c r="G436" s="17"/>
      <c r="H436" s="17"/>
      <c r="I436" s="17"/>
      <c r="J436" s="17"/>
      <c r="K436" s="17"/>
    </row>
    <row r="437">
      <c r="A437" s="29"/>
      <c r="B437" s="24"/>
      <c r="C437" s="17"/>
      <c r="D437" s="17"/>
      <c r="E437" s="17"/>
      <c r="F437" s="17"/>
      <c r="G437" s="17"/>
      <c r="H437" s="17"/>
      <c r="I437" s="17"/>
      <c r="J437" s="17"/>
      <c r="K437" s="17"/>
    </row>
    <row r="438">
      <c r="A438" s="29"/>
      <c r="B438" s="24"/>
      <c r="C438" s="17"/>
      <c r="D438" s="17"/>
      <c r="E438" s="17"/>
      <c r="F438" s="17"/>
      <c r="G438" s="17"/>
      <c r="H438" s="17"/>
      <c r="I438" s="17"/>
      <c r="J438" s="17"/>
      <c r="K438" s="17"/>
    </row>
    <row r="439">
      <c r="A439" s="29"/>
      <c r="B439" s="24"/>
      <c r="C439" s="17"/>
      <c r="D439" s="17"/>
      <c r="E439" s="17"/>
      <c r="F439" s="17"/>
      <c r="G439" s="17"/>
      <c r="H439" s="17"/>
      <c r="I439" s="17"/>
      <c r="J439" s="17"/>
      <c r="K439" s="17"/>
    </row>
    <row r="440">
      <c r="A440" s="29"/>
      <c r="B440" s="24"/>
      <c r="C440" s="17"/>
      <c r="D440" s="17"/>
      <c r="E440" s="17"/>
      <c r="F440" s="17"/>
      <c r="G440" s="17"/>
      <c r="H440" s="17"/>
      <c r="I440" s="17"/>
      <c r="J440" s="17"/>
      <c r="K440" s="17"/>
    </row>
    <row r="441">
      <c r="A441" s="29"/>
      <c r="B441" s="24"/>
      <c r="C441" s="17"/>
      <c r="D441" s="17"/>
      <c r="E441" s="17"/>
      <c r="F441" s="17"/>
      <c r="G441" s="17"/>
      <c r="H441" s="17"/>
      <c r="I441" s="17"/>
      <c r="J441" s="17"/>
      <c r="K441" s="17"/>
    </row>
    <row r="442">
      <c r="A442" s="29"/>
      <c r="B442" s="24"/>
      <c r="C442" s="17"/>
      <c r="D442" s="17"/>
      <c r="E442" s="17"/>
      <c r="F442" s="17"/>
      <c r="G442" s="17"/>
      <c r="H442" s="17"/>
      <c r="I442" s="17"/>
      <c r="J442" s="17"/>
      <c r="K442" s="17"/>
    </row>
    <row r="443">
      <c r="A443" s="29"/>
      <c r="B443" s="24"/>
      <c r="C443" s="17"/>
      <c r="D443" s="17"/>
      <c r="E443" s="17"/>
      <c r="F443" s="17"/>
      <c r="G443" s="17"/>
      <c r="H443" s="17"/>
      <c r="I443" s="17"/>
      <c r="J443" s="17"/>
      <c r="K443" s="17"/>
    </row>
    <row r="444">
      <c r="A444" s="29"/>
      <c r="B444" s="24"/>
      <c r="C444" s="17"/>
      <c r="D444" s="17"/>
      <c r="E444" s="17"/>
      <c r="F444" s="17"/>
      <c r="G444" s="17"/>
      <c r="H444" s="17"/>
      <c r="I444" s="17"/>
      <c r="J444" s="17"/>
      <c r="K444" s="17"/>
    </row>
    <row r="445">
      <c r="A445" s="29"/>
      <c r="B445" s="24"/>
      <c r="C445" s="17"/>
      <c r="D445" s="17"/>
      <c r="E445" s="17"/>
      <c r="F445" s="17"/>
      <c r="G445" s="17"/>
      <c r="H445" s="17"/>
      <c r="I445" s="17"/>
      <c r="J445" s="17"/>
      <c r="K445" s="17"/>
    </row>
    <row r="446">
      <c r="A446" s="29"/>
      <c r="B446" s="24"/>
      <c r="C446" s="17"/>
      <c r="D446" s="17"/>
      <c r="E446" s="17"/>
      <c r="F446" s="17"/>
      <c r="G446" s="17"/>
      <c r="H446" s="17"/>
      <c r="I446" s="17"/>
      <c r="J446" s="17"/>
      <c r="K446" s="17"/>
    </row>
    <row r="447">
      <c r="A447" s="29"/>
      <c r="B447" s="24"/>
      <c r="C447" s="17"/>
      <c r="D447" s="17"/>
      <c r="E447" s="17"/>
      <c r="F447" s="17"/>
      <c r="G447" s="17"/>
      <c r="H447" s="17"/>
      <c r="I447" s="17"/>
      <c r="J447" s="17"/>
      <c r="K447" s="17"/>
    </row>
    <row r="448">
      <c r="A448" s="29"/>
      <c r="B448" s="24"/>
      <c r="C448" s="17"/>
      <c r="D448" s="17"/>
      <c r="E448" s="17"/>
      <c r="F448" s="17"/>
      <c r="G448" s="17"/>
      <c r="H448" s="17"/>
      <c r="I448" s="17"/>
      <c r="J448" s="17"/>
      <c r="K448" s="17"/>
    </row>
    <row r="449">
      <c r="A449" s="29"/>
      <c r="B449" s="24"/>
      <c r="C449" s="17"/>
      <c r="D449" s="17"/>
      <c r="E449" s="17"/>
      <c r="F449" s="17"/>
      <c r="G449" s="17"/>
      <c r="H449" s="17"/>
      <c r="I449" s="17"/>
      <c r="J449" s="17"/>
      <c r="K449" s="17"/>
    </row>
    <row r="450">
      <c r="A450" s="29"/>
      <c r="B450" s="24"/>
      <c r="C450" s="17"/>
      <c r="D450" s="17"/>
      <c r="E450" s="17"/>
      <c r="F450" s="17"/>
      <c r="G450" s="17"/>
      <c r="H450" s="17"/>
      <c r="I450" s="17"/>
      <c r="J450" s="17"/>
      <c r="K450" s="17"/>
    </row>
    <row r="451">
      <c r="A451" s="29"/>
      <c r="B451" s="24"/>
      <c r="C451" s="17"/>
      <c r="D451" s="17"/>
      <c r="E451" s="17"/>
      <c r="F451" s="17"/>
      <c r="G451" s="17"/>
      <c r="H451" s="17"/>
      <c r="I451" s="17"/>
      <c r="J451" s="17"/>
      <c r="K451" s="17"/>
    </row>
    <row r="452">
      <c r="A452" s="29"/>
      <c r="B452" s="24"/>
      <c r="C452" s="17"/>
      <c r="D452" s="17"/>
      <c r="E452" s="17"/>
      <c r="F452" s="17"/>
      <c r="G452" s="17"/>
      <c r="H452" s="17"/>
      <c r="I452" s="17"/>
      <c r="J452" s="17"/>
      <c r="K452" s="17"/>
    </row>
    <row r="453">
      <c r="A453" s="29"/>
      <c r="B453" s="24"/>
      <c r="C453" s="17"/>
      <c r="D453" s="17"/>
      <c r="E453" s="17"/>
      <c r="F453" s="17"/>
      <c r="G453" s="17"/>
      <c r="H453" s="17"/>
      <c r="I453" s="17"/>
      <c r="J453" s="17"/>
      <c r="K453" s="17"/>
    </row>
    <row r="454">
      <c r="A454" s="29"/>
      <c r="B454" s="24"/>
      <c r="C454" s="17"/>
      <c r="D454" s="17"/>
      <c r="E454" s="17"/>
      <c r="F454" s="17"/>
      <c r="G454" s="17"/>
      <c r="H454" s="17"/>
      <c r="I454" s="17"/>
      <c r="J454" s="17"/>
      <c r="K454" s="17"/>
    </row>
    <row r="455">
      <c r="A455" s="29"/>
      <c r="B455" s="24"/>
      <c r="C455" s="17"/>
      <c r="D455" s="17"/>
      <c r="E455" s="17"/>
      <c r="F455" s="17"/>
      <c r="G455" s="17"/>
      <c r="H455" s="17"/>
      <c r="I455" s="17"/>
      <c r="J455" s="17"/>
      <c r="K455" s="17"/>
    </row>
    <row r="456">
      <c r="A456" s="29"/>
      <c r="B456" s="24"/>
      <c r="C456" s="17"/>
      <c r="D456" s="17"/>
      <c r="E456" s="17"/>
      <c r="F456" s="17"/>
      <c r="G456" s="17"/>
      <c r="H456" s="17"/>
      <c r="I456" s="17"/>
      <c r="J456" s="17"/>
      <c r="K456" s="17"/>
    </row>
    <row r="457">
      <c r="A457" s="29"/>
      <c r="B457" s="24"/>
      <c r="C457" s="17"/>
      <c r="D457" s="17"/>
      <c r="E457" s="17"/>
      <c r="F457" s="17"/>
      <c r="G457" s="17"/>
      <c r="H457" s="17"/>
      <c r="I457" s="17"/>
      <c r="J457" s="17"/>
      <c r="K457" s="17"/>
    </row>
    <row r="458">
      <c r="A458" s="29"/>
      <c r="B458" s="24"/>
      <c r="C458" s="17"/>
      <c r="D458" s="17"/>
      <c r="E458" s="17"/>
      <c r="F458" s="17"/>
      <c r="G458" s="17"/>
      <c r="H458" s="17"/>
      <c r="I458" s="17"/>
      <c r="J458" s="17"/>
      <c r="K458" s="17"/>
    </row>
    <row r="459">
      <c r="A459" s="29"/>
      <c r="B459" s="24"/>
      <c r="C459" s="17"/>
      <c r="D459" s="17"/>
      <c r="E459" s="17"/>
      <c r="F459" s="17"/>
      <c r="G459" s="17"/>
      <c r="H459" s="17"/>
      <c r="I459" s="17"/>
      <c r="J459" s="17"/>
      <c r="K459" s="17"/>
    </row>
    <row r="460">
      <c r="A460" s="29"/>
      <c r="B460" s="24"/>
      <c r="C460" s="17"/>
      <c r="D460" s="17"/>
      <c r="E460" s="17"/>
      <c r="F460" s="17"/>
      <c r="G460" s="17"/>
      <c r="H460" s="17"/>
      <c r="I460" s="17"/>
      <c r="J460" s="17"/>
      <c r="K460" s="17"/>
    </row>
    <row r="461">
      <c r="A461" s="29"/>
      <c r="B461" s="24"/>
      <c r="C461" s="17"/>
      <c r="D461" s="17"/>
      <c r="E461" s="17"/>
      <c r="F461" s="17"/>
      <c r="G461" s="17"/>
      <c r="H461" s="17"/>
      <c r="I461" s="17"/>
      <c r="J461" s="17"/>
      <c r="K461" s="17"/>
    </row>
    <row r="462">
      <c r="A462" s="29"/>
      <c r="B462" s="24"/>
      <c r="C462" s="17"/>
      <c r="D462" s="17"/>
      <c r="E462" s="17"/>
      <c r="F462" s="17"/>
      <c r="G462" s="17"/>
      <c r="H462" s="17"/>
      <c r="I462" s="17"/>
      <c r="J462" s="17"/>
      <c r="K462" s="17"/>
    </row>
    <row r="463">
      <c r="A463" s="29"/>
      <c r="B463" s="24"/>
      <c r="C463" s="17"/>
      <c r="D463" s="17"/>
      <c r="E463" s="17"/>
      <c r="F463" s="17"/>
      <c r="G463" s="17"/>
      <c r="H463" s="17"/>
      <c r="I463" s="17"/>
      <c r="J463" s="17"/>
      <c r="K463" s="17"/>
    </row>
    <row r="464">
      <c r="A464" s="29"/>
      <c r="B464" s="24"/>
      <c r="C464" s="17"/>
      <c r="D464" s="17"/>
      <c r="E464" s="17"/>
      <c r="F464" s="17"/>
      <c r="G464" s="17"/>
      <c r="H464" s="17"/>
      <c r="I464" s="17"/>
      <c r="J464" s="17"/>
      <c r="K464" s="17"/>
    </row>
    <row r="465">
      <c r="A465" s="29"/>
      <c r="B465" s="24"/>
      <c r="C465" s="17"/>
      <c r="D465" s="17"/>
      <c r="E465" s="17"/>
      <c r="F465" s="17"/>
      <c r="G465" s="17"/>
      <c r="H465" s="17"/>
      <c r="I465" s="17"/>
      <c r="J465" s="17"/>
      <c r="K465" s="17"/>
    </row>
    <row r="466">
      <c r="A466" s="29"/>
      <c r="B466" s="24"/>
      <c r="C466" s="17"/>
      <c r="D466" s="17"/>
      <c r="E466" s="17"/>
      <c r="F466" s="17"/>
      <c r="G466" s="17"/>
      <c r="H466" s="17"/>
      <c r="I466" s="17"/>
      <c r="J466" s="17"/>
      <c r="K466" s="17"/>
    </row>
    <row r="467">
      <c r="A467" s="29"/>
      <c r="B467" s="24"/>
      <c r="C467" s="17"/>
      <c r="D467" s="17"/>
      <c r="E467" s="17"/>
      <c r="F467" s="17"/>
      <c r="G467" s="17"/>
      <c r="H467" s="17"/>
      <c r="I467" s="17"/>
      <c r="J467" s="17"/>
      <c r="K467" s="17"/>
    </row>
    <row r="468">
      <c r="A468" s="29"/>
      <c r="B468" s="24"/>
      <c r="C468" s="17"/>
      <c r="D468" s="17"/>
      <c r="E468" s="17"/>
      <c r="F468" s="17"/>
      <c r="G468" s="17"/>
      <c r="H468" s="17"/>
      <c r="I468" s="17"/>
      <c r="J468" s="17"/>
      <c r="K468" s="17"/>
    </row>
    <row r="469">
      <c r="A469" s="29"/>
      <c r="B469" s="24"/>
      <c r="C469" s="17"/>
      <c r="D469" s="17"/>
      <c r="E469" s="17"/>
      <c r="F469" s="17"/>
      <c r="G469" s="17"/>
      <c r="H469" s="17"/>
      <c r="I469" s="17"/>
      <c r="J469" s="17"/>
      <c r="K469" s="17"/>
    </row>
    <row r="470">
      <c r="A470" s="29"/>
      <c r="B470" s="24"/>
      <c r="C470" s="17"/>
      <c r="D470" s="17"/>
      <c r="E470" s="17"/>
      <c r="F470" s="17"/>
      <c r="G470" s="17"/>
      <c r="H470" s="17"/>
      <c r="I470" s="17"/>
      <c r="J470" s="17"/>
      <c r="K470" s="17"/>
    </row>
    <row r="471">
      <c r="A471" s="29"/>
      <c r="B471" s="24"/>
      <c r="C471" s="17"/>
      <c r="D471" s="17"/>
      <c r="E471" s="17"/>
      <c r="F471" s="17"/>
      <c r="G471" s="17"/>
      <c r="H471" s="17"/>
      <c r="I471" s="17"/>
      <c r="J471" s="17"/>
      <c r="K471" s="17"/>
    </row>
    <row r="472">
      <c r="A472" s="29"/>
      <c r="B472" s="24"/>
      <c r="C472" s="17"/>
      <c r="D472" s="17"/>
      <c r="E472" s="17"/>
      <c r="F472" s="17"/>
      <c r="G472" s="17"/>
      <c r="H472" s="17"/>
      <c r="I472" s="17"/>
      <c r="J472" s="17"/>
      <c r="K472" s="17"/>
    </row>
    <row r="473">
      <c r="A473" s="29"/>
      <c r="B473" s="24"/>
      <c r="C473" s="17"/>
      <c r="D473" s="17"/>
      <c r="E473" s="17"/>
      <c r="F473" s="17"/>
      <c r="G473" s="17"/>
      <c r="H473" s="17"/>
      <c r="I473" s="17"/>
      <c r="J473" s="17"/>
      <c r="K473" s="17"/>
    </row>
    <row r="474">
      <c r="A474" s="29"/>
      <c r="B474" s="24"/>
      <c r="C474" s="17"/>
      <c r="D474" s="17"/>
      <c r="E474" s="17"/>
      <c r="F474" s="17"/>
      <c r="G474" s="17"/>
      <c r="H474" s="17"/>
      <c r="I474" s="17"/>
      <c r="J474" s="17"/>
      <c r="K474" s="17"/>
    </row>
    <row r="475">
      <c r="A475" s="29"/>
      <c r="B475" s="24"/>
      <c r="C475" s="17"/>
      <c r="D475" s="17"/>
      <c r="E475" s="17"/>
      <c r="F475" s="17"/>
      <c r="G475" s="17"/>
      <c r="H475" s="17"/>
      <c r="I475" s="17"/>
      <c r="J475" s="17"/>
      <c r="K475" s="17"/>
    </row>
    <row r="476">
      <c r="A476" s="29"/>
      <c r="B476" s="24"/>
      <c r="C476" s="17"/>
      <c r="D476" s="17"/>
      <c r="E476" s="17"/>
      <c r="F476" s="17"/>
      <c r="G476" s="17"/>
      <c r="H476" s="17"/>
      <c r="I476" s="17"/>
      <c r="J476" s="17"/>
      <c r="K476" s="17"/>
    </row>
    <row r="477">
      <c r="A477" s="29"/>
      <c r="B477" s="24"/>
      <c r="C477" s="17"/>
      <c r="D477" s="17"/>
      <c r="E477" s="17"/>
      <c r="F477" s="17"/>
      <c r="G477" s="17"/>
      <c r="H477" s="17"/>
      <c r="I477" s="17"/>
      <c r="J477" s="17"/>
      <c r="K477" s="17"/>
    </row>
    <row r="478">
      <c r="A478" s="29"/>
      <c r="B478" s="24"/>
      <c r="C478" s="17"/>
      <c r="D478" s="17"/>
      <c r="E478" s="17"/>
      <c r="F478" s="17"/>
      <c r="G478" s="17"/>
      <c r="H478" s="17"/>
      <c r="I478" s="17"/>
      <c r="J478" s="17"/>
      <c r="K478" s="17"/>
    </row>
    <row r="479">
      <c r="A479" s="29"/>
      <c r="B479" s="24"/>
      <c r="C479" s="17"/>
      <c r="D479" s="17"/>
      <c r="E479" s="17"/>
      <c r="F479" s="17"/>
      <c r="G479" s="17"/>
      <c r="H479" s="17"/>
      <c r="I479" s="17"/>
      <c r="J479" s="17"/>
      <c r="K479" s="17"/>
    </row>
    <row r="480">
      <c r="A480" s="29"/>
      <c r="B480" s="24"/>
      <c r="C480" s="17"/>
      <c r="D480" s="17"/>
      <c r="E480" s="17"/>
      <c r="F480" s="17"/>
      <c r="G480" s="17"/>
      <c r="H480" s="17"/>
      <c r="I480" s="17"/>
      <c r="J480" s="17"/>
      <c r="K480" s="17"/>
    </row>
    <row r="481">
      <c r="A481" s="29"/>
      <c r="B481" s="24"/>
      <c r="C481" s="17"/>
      <c r="D481" s="17"/>
      <c r="E481" s="17"/>
      <c r="F481" s="17"/>
      <c r="G481" s="17"/>
      <c r="H481" s="17"/>
      <c r="I481" s="17"/>
      <c r="J481" s="17"/>
      <c r="K481" s="17"/>
    </row>
    <row r="482">
      <c r="A482" s="29"/>
      <c r="B482" s="24"/>
      <c r="C482" s="17"/>
      <c r="D482" s="17"/>
      <c r="E482" s="17"/>
      <c r="F482" s="17"/>
      <c r="G482" s="17"/>
      <c r="H482" s="17"/>
      <c r="I482" s="17"/>
      <c r="J482" s="17"/>
      <c r="K482" s="17"/>
    </row>
    <row r="483">
      <c r="A483" s="29"/>
      <c r="B483" s="24"/>
      <c r="C483" s="17"/>
      <c r="D483" s="17"/>
      <c r="E483" s="17"/>
      <c r="F483" s="17"/>
      <c r="G483" s="17"/>
      <c r="H483" s="17"/>
      <c r="I483" s="17"/>
      <c r="J483" s="17"/>
      <c r="K483" s="17"/>
    </row>
    <row r="484">
      <c r="A484" s="29"/>
      <c r="B484" s="24"/>
      <c r="C484" s="17"/>
      <c r="D484" s="17"/>
      <c r="E484" s="17"/>
      <c r="F484" s="17"/>
      <c r="G484" s="17"/>
      <c r="H484" s="17"/>
      <c r="I484" s="17"/>
      <c r="J484" s="17"/>
      <c r="K484" s="17"/>
    </row>
    <row r="485">
      <c r="A485" s="29"/>
      <c r="B485" s="24"/>
      <c r="C485" s="17"/>
      <c r="D485" s="17"/>
      <c r="E485" s="17"/>
      <c r="F485" s="17"/>
      <c r="G485" s="17"/>
      <c r="H485" s="17"/>
      <c r="I485" s="17"/>
      <c r="J485" s="17"/>
      <c r="K485" s="17"/>
    </row>
    <row r="486">
      <c r="A486" s="29"/>
      <c r="B486" s="24"/>
      <c r="C486" s="17"/>
      <c r="D486" s="17"/>
      <c r="E486" s="17"/>
      <c r="F486" s="17"/>
      <c r="G486" s="17"/>
      <c r="H486" s="17"/>
      <c r="I486" s="17"/>
      <c r="J486" s="17"/>
      <c r="K486" s="17"/>
    </row>
    <row r="487">
      <c r="A487" s="29"/>
      <c r="B487" s="24"/>
      <c r="C487" s="17"/>
      <c r="D487" s="17"/>
      <c r="E487" s="17"/>
      <c r="F487" s="17"/>
      <c r="G487" s="17"/>
      <c r="H487" s="17"/>
      <c r="I487" s="17"/>
      <c r="J487" s="17"/>
      <c r="K487" s="17"/>
    </row>
    <row r="488">
      <c r="A488" s="29"/>
      <c r="B488" s="24"/>
      <c r="C488" s="17"/>
      <c r="D488" s="17"/>
      <c r="E488" s="17"/>
      <c r="F488" s="17"/>
      <c r="G488" s="17"/>
      <c r="H488" s="17"/>
      <c r="I488" s="17"/>
      <c r="J488" s="17"/>
      <c r="K488" s="17"/>
    </row>
    <row r="489">
      <c r="A489" s="29"/>
      <c r="B489" s="24"/>
      <c r="C489" s="17"/>
      <c r="D489" s="17"/>
      <c r="E489" s="17"/>
      <c r="F489" s="17"/>
      <c r="G489" s="17"/>
      <c r="H489" s="17"/>
      <c r="I489" s="17"/>
      <c r="J489" s="17"/>
      <c r="K489" s="17"/>
    </row>
    <row r="490">
      <c r="A490" s="29"/>
      <c r="B490" s="24"/>
      <c r="C490" s="17"/>
      <c r="D490" s="17"/>
      <c r="E490" s="17"/>
      <c r="F490" s="17"/>
      <c r="G490" s="17"/>
      <c r="H490" s="17"/>
      <c r="I490" s="17"/>
      <c r="J490" s="17"/>
      <c r="K490" s="17"/>
    </row>
    <row r="491">
      <c r="A491" s="29"/>
      <c r="B491" s="24"/>
      <c r="C491" s="17"/>
      <c r="D491" s="17"/>
      <c r="E491" s="17"/>
      <c r="F491" s="17"/>
      <c r="G491" s="17"/>
      <c r="H491" s="17"/>
      <c r="I491" s="17"/>
      <c r="J491" s="17"/>
      <c r="K491" s="17"/>
    </row>
    <row r="492">
      <c r="A492" s="29"/>
      <c r="B492" s="24"/>
      <c r="C492" s="17"/>
      <c r="D492" s="17"/>
      <c r="E492" s="17"/>
      <c r="F492" s="17"/>
      <c r="G492" s="17"/>
      <c r="H492" s="17"/>
      <c r="I492" s="17"/>
      <c r="J492" s="17"/>
      <c r="K492" s="17"/>
    </row>
    <row r="493">
      <c r="A493" s="29"/>
      <c r="B493" s="24"/>
      <c r="C493" s="17"/>
      <c r="D493" s="17"/>
      <c r="E493" s="17"/>
      <c r="F493" s="17"/>
      <c r="G493" s="17"/>
      <c r="H493" s="17"/>
      <c r="I493" s="17"/>
      <c r="J493" s="17"/>
      <c r="K493" s="17"/>
    </row>
    <row r="494">
      <c r="A494" s="29"/>
      <c r="B494" s="24"/>
      <c r="C494" s="17"/>
      <c r="D494" s="17"/>
      <c r="E494" s="17"/>
      <c r="F494" s="17"/>
      <c r="G494" s="17"/>
      <c r="H494" s="17"/>
      <c r="I494" s="17"/>
      <c r="J494" s="17"/>
      <c r="K494" s="17"/>
    </row>
    <row r="495">
      <c r="A495" s="29"/>
      <c r="B495" s="24"/>
      <c r="C495" s="17"/>
      <c r="D495" s="17"/>
      <c r="E495" s="17"/>
      <c r="F495" s="17"/>
      <c r="G495" s="17"/>
      <c r="H495" s="17"/>
      <c r="I495" s="17"/>
      <c r="J495" s="17"/>
      <c r="K495" s="17"/>
    </row>
    <row r="496">
      <c r="A496" s="29"/>
      <c r="B496" s="24"/>
      <c r="C496" s="17"/>
      <c r="D496" s="17"/>
      <c r="E496" s="17"/>
      <c r="F496" s="17"/>
      <c r="G496" s="17"/>
      <c r="H496" s="17"/>
      <c r="I496" s="17"/>
      <c r="J496" s="17"/>
      <c r="K496" s="17"/>
    </row>
    <row r="497">
      <c r="A497" s="29"/>
      <c r="B497" s="24"/>
      <c r="C497" s="17"/>
      <c r="D497" s="17"/>
      <c r="E497" s="17"/>
      <c r="F497" s="17"/>
      <c r="G497" s="17"/>
      <c r="H497" s="17"/>
      <c r="I497" s="17"/>
      <c r="J497" s="17"/>
      <c r="K497" s="17"/>
    </row>
    <row r="498">
      <c r="A498" s="29"/>
      <c r="B498" s="24"/>
      <c r="C498" s="17"/>
      <c r="D498" s="17"/>
      <c r="E498" s="17"/>
      <c r="F498" s="17"/>
      <c r="G498" s="17"/>
      <c r="H498" s="17"/>
      <c r="I498" s="17"/>
      <c r="J498" s="17"/>
      <c r="K498" s="17"/>
    </row>
    <row r="499">
      <c r="A499" s="29"/>
      <c r="B499" s="24"/>
      <c r="C499" s="17"/>
      <c r="D499" s="17"/>
      <c r="E499" s="17"/>
      <c r="F499" s="17"/>
      <c r="G499" s="17"/>
      <c r="H499" s="17"/>
      <c r="I499" s="17"/>
      <c r="J499" s="17"/>
      <c r="K499" s="17"/>
    </row>
    <row r="500">
      <c r="A500" s="29"/>
      <c r="B500" s="24"/>
      <c r="C500" s="17"/>
      <c r="D500" s="17"/>
      <c r="E500" s="17"/>
      <c r="F500" s="17"/>
      <c r="G500" s="17"/>
      <c r="H500" s="17"/>
      <c r="I500" s="17"/>
      <c r="J500" s="17"/>
      <c r="K500" s="17"/>
    </row>
    <row r="501">
      <c r="A501" s="29"/>
      <c r="B501" s="24"/>
      <c r="C501" s="17"/>
      <c r="D501" s="17"/>
      <c r="E501" s="17"/>
      <c r="F501" s="17"/>
      <c r="G501" s="17"/>
      <c r="H501" s="17"/>
      <c r="I501" s="17"/>
      <c r="J501" s="17"/>
      <c r="K501" s="17"/>
    </row>
    <row r="502">
      <c r="A502" s="29"/>
      <c r="B502" s="24"/>
      <c r="C502" s="17"/>
      <c r="D502" s="17"/>
      <c r="E502" s="17"/>
      <c r="F502" s="17"/>
      <c r="G502" s="17"/>
      <c r="H502" s="17"/>
      <c r="I502" s="17"/>
      <c r="J502" s="17"/>
      <c r="K502" s="17"/>
    </row>
    <row r="503">
      <c r="A503" s="29"/>
      <c r="B503" s="24"/>
      <c r="C503" s="17"/>
      <c r="D503" s="17"/>
      <c r="E503" s="17"/>
      <c r="F503" s="17"/>
      <c r="G503" s="17"/>
      <c r="H503" s="17"/>
      <c r="I503" s="17"/>
      <c r="J503" s="17"/>
      <c r="K503" s="17"/>
    </row>
    <row r="504">
      <c r="A504" s="29"/>
      <c r="B504" s="24"/>
      <c r="C504" s="17"/>
      <c r="D504" s="17"/>
      <c r="E504" s="17"/>
      <c r="F504" s="17"/>
      <c r="G504" s="17"/>
      <c r="H504" s="17"/>
      <c r="I504" s="17"/>
      <c r="J504" s="17"/>
      <c r="K504" s="17"/>
    </row>
    <row r="505">
      <c r="A505" s="29"/>
      <c r="B505" s="24"/>
      <c r="C505" s="17"/>
      <c r="D505" s="17"/>
      <c r="E505" s="17"/>
      <c r="F505" s="17"/>
      <c r="G505" s="17"/>
      <c r="H505" s="17"/>
      <c r="I505" s="17"/>
      <c r="J505" s="17"/>
      <c r="K505" s="17"/>
    </row>
    <row r="506">
      <c r="A506" s="29"/>
      <c r="B506" s="24"/>
      <c r="C506" s="17"/>
      <c r="D506" s="17"/>
      <c r="E506" s="17"/>
      <c r="F506" s="17"/>
      <c r="G506" s="17"/>
      <c r="H506" s="17"/>
      <c r="I506" s="17"/>
      <c r="J506" s="17"/>
      <c r="K506" s="17"/>
    </row>
    <row r="507">
      <c r="A507" s="29"/>
      <c r="B507" s="24"/>
      <c r="C507" s="17"/>
      <c r="D507" s="17"/>
      <c r="E507" s="17"/>
      <c r="F507" s="17"/>
      <c r="G507" s="17"/>
      <c r="H507" s="17"/>
      <c r="I507" s="17"/>
      <c r="J507" s="17"/>
      <c r="K507" s="17"/>
    </row>
    <row r="508">
      <c r="A508" s="29"/>
      <c r="B508" s="24"/>
      <c r="C508" s="17"/>
      <c r="D508" s="17"/>
      <c r="E508" s="17"/>
      <c r="F508" s="17"/>
      <c r="G508" s="17"/>
      <c r="H508" s="17"/>
      <c r="I508" s="17"/>
      <c r="J508" s="17"/>
      <c r="K508" s="17"/>
    </row>
    <row r="509">
      <c r="A509" s="29"/>
      <c r="B509" s="24"/>
      <c r="C509" s="17"/>
      <c r="D509" s="17"/>
      <c r="E509" s="17"/>
      <c r="F509" s="17"/>
      <c r="G509" s="17"/>
      <c r="H509" s="17"/>
      <c r="I509" s="17"/>
      <c r="J509" s="17"/>
      <c r="K509" s="17"/>
    </row>
    <row r="510">
      <c r="A510" s="29"/>
      <c r="B510" s="24"/>
      <c r="C510" s="17"/>
      <c r="D510" s="17"/>
      <c r="E510" s="17"/>
      <c r="F510" s="17"/>
      <c r="G510" s="17"/>
      <c r="H510" s="17"/>
      <c r="I510" s="17"/>
      <c r="J510" s="17"/>
      <c r="K510" s="17"/>
    </row>
    <row r="511">
      <c r="A511" s="29"/>
      <c r="B511" s="24"/>
      <c r="C511" s="17"/>
      <c r="D511" s="17"/>
      <c r="E511" s="17"/>
      <c r="F511" s="17"/>
      <c r="G511" s="17"/>
      <c r="H511" s="17"/>
      <c r="I511" s="17"/>
      <c r="J511" s="17"/>
      <c r="K511" s="17"/>
    </row>
    <row r="512">
      <c r="A512" s="29"/>
      <c r="B512" s="24"/>
      <c r="C512" s="17"/>
      <c r="D512" s="17"/>
      <c r="E512" s="17"/>
      <c r="F512" s="17"/>
      <c r="G512" s="17"/>
      <c r="H512" s="17"/>
      <c r="I512" s="17"/>
      <c r="J512" s="17"/>
      <c r="K512" s="17"/>
    </row>
    <row r="513">
      <c r="A513" s="29"/>
      <c r="B513" s="24"/>
      <c r="C513" s="17"/>
      <c r="D513" s="17"/>
      <c r="E513" s="17"/>
      <c r="F513" s="17"/>
      <c r="G513" s="17"/>
      <c r="H513" s="17"/>
      <c r="I513" s="17"/>
      <c r="J513" s="17"/>
      <c r="K513" s="17"/>
    </row>
    <row r="514">
      <c r="A514" s="29"/>
      <c r="B514" s="24"/>
      <c r="C514" s="17"/>
      <c r="D514" s="17"/>
      <c r="E514" s="17"/>
      <c r="F514" s="17"/>
      <c r="G514" s="17"/>
      <c r="H514" s="17"/>
      <c r="I514" s="17"/>
      <c r="J514" s="17"/>
      <c r="K514" s="17"/>
    </row>
    <row r="515">
      <c r="A515" s="29"/>
      <c r="B515" s="24"/>
      <c r="C515" s="17"/>
      <c r="D515" s="17"/>
      <c r="E515" s="17"/>
      <c r="F515" s="17"/>
      <c r="G515" s="17"/>
      <c r="H515" s="17"/>
      <c r="I515" s="17"/>
      <c r="J515" s="17"/>
      <c r="K515" s="17"/>
    </row>
    <row r="516">
      <c r="A516" s="29"/>
      <c r="B516" s="24"/>
      <c r="C516" s="17"/>
      <c r="D516" s="17"/>
      <c r="E516" s="17"/>
      <c r="F516" s="17"/>
      <c r="G516" s="17"/>
      <c r="H516" s="17"/>
      <c r="I516" s="17"/>
      <c r="J516" s="17"/>
      <c r="K516" s="17"/>
    </row>
    <row r="517">
      <c r="A517" s="29"/>
      <c r="B517" s="24"/>
      <c r="C517" s="17"/>
      <c r="D517" s="17"/>
      <c r="E517" s="17"/>
      <c r="F517" s="17"/>
      <c r="G517" s="17"/>
      <c r="H517" s="17"/>
      <c r="I517" s="17"/>
      <c r="J517" s="17"/>
      <c r="K517" s="17"/>
    </row>
    <row r="518">
      <c r="A518" s="29"/>
      <c r="B518" s="24"/>
      <c r="C518" s="17"/>
      <c r="D518" s="17"/>
      <c r="E518" s="17"/>
      <c r="F518" s="17"/>
      <c r="G518" s="17"/>
      <c r="H518" s="17"/>
      <c r="I518" s="17"/>
      <c r="J518" s="17"/>
      <c r="K518" s="17"/>
    </row>
    <row r="519">
      <c r="A519" s="29"/>
      <c r="B519" s="24"/>
      <c r="C519" s="17"/>
      <c r="D519" s="17"/>
      <c r="E519" s="17"/>
      <c r="F519" s="17"/>
      <c r="G519" s="17"/>
      <c r="H519" s="17"/>
      <c r="I519" s="17"/>
      <c r="J519" s="17"/>
      <c r="K519" s="17"/>
    </row>
    <row r="520">
      <c r="A520" s="29"/>
      <c r="B520" s="24"/>
      <c r="C520" s="17"/>
      <c r="D520" s="17"/>
      <c r="E520" s="17"/>
      <c r="F520" s="17"/>
      <c r="G520" s="17"/>
      <c r="H520" s="17"/>
      <c r="I520" s="17"/>
      <c r="J520" s="17"/>
      <c r="K520" s="17"/>
    </row>
    <row r="521">
      <c r="A521" s="29"/>
      <c r="B521" s="24"/>
      <c r="C521" s="17"/>
      <c r="D521" s="17"/>
      <c r="E521" s="17"/>
      <c r="F521" s="17"/>
      <c r="G521" s="17"/>
      <c r="H521" s="17"/>
      <c r="I521" s="17"/>
      <c r="J521" s="17"/>
      <c r="K521" s="17"/>
    </row>
    <row r="522">
      <c r="A522" s="29"/>
      <c r="B522" s="24"/>
      <c r="C522" s="17"/>
      <c r="D522" s="17"/>
      <c r="E522" s="17"/>
      <c r="F522" s="17"/>
      <c r="G522" s="17"/>
      <c r="H522" s="17"/>
      <c r="I522" s="17"/>
      <c r="J522" s="17"/>
      <c r="K522" s="17"/>
    </row>
    <row r="523">
      <c r="A523" s="29"/>
      <c r="B523" s="24"/>
      <c r="C523" s="17"/>
      <c r="D523" s="17"/>
      <c r="E523" s="17"/>
      <c r="F523" s="17"/>
      <c r="G523" s="17"/>
      <c r="H523" s="17"/>
      <c r="I523" s="17"/>
      <c r="J523" s="17"/>
      <c r="K523" s="17"/>
    </row>
    <row r="524">
      <c r="A524" s="29"/>
      <c r="B524" s="24"/>
      <c r="C524" s="17"/>
      <c r="D524" s="17"/>
      <c r="E524" s="17"/>
      <c r="F524" s="17"/>
      <c r="G524" s="17"/>
      <c r="H524" s="17"/>
      <c r="I524" s="17"/>
      <c r="J524" s="17"/>
      <c r="K524" s="17"/>
    </row>
    <row r="525">
      <c r="A525" s="29"/>
      <c r="B525" s="24"/>
      <c r="C525" s="17"/>
      <c r="D525" s="17"/>
      <c r="E525" s="17"/>
      <c r="F525" s="17"/>
      <c r="G525" s="17"/>
      <c r="H525" s="17"/>
      <c r="I525" s="17"/>
      <c r="J525" s="17"/>
      <c r="K525" s="17"/>
    </row>
    <row r="526">
      <c r="A526" s="29"/>
      <c r="B526" s="24"/>
      <c r="C526" s="17"/>
      <c r="D526" s="17"/>
      <c r="E526" s="17"/>
      <c r="F526" s="17"/>
      <c r="G526" s="17"/>
      <c r="H526" s="17"/>
      <c r="I526" s="17"/>
      <c r="J526" s="17"/>
      <c r="K526" s="17"/>
    </row>
    <row r="527">
      <c r="A527" s="29"/>
      <c r="B527" s="24"/>
      <c r="C527" s="17"/>
      <c r="D527" s="17"/>
      <c r="E527" s="17"/>
      <c r="F527" s="17"/>
      <c r="G527" s="17"/>
      <c r="H527" s="17"/>
      <c r="I527" s="17"/>
      <c r="J527" s="17"/>
      <c r="K527" s="17"/>
    </row>
    <row r="528">
      <c r="A528" s="29"/>
      <c r="B528" s="24"/>
      <c r="C528" s="17"/>
      <c r="D528" s="17"/>
      <c r="E528" s="17"/>
      <c r="F528" s="17"/>
      <c r="G528" s="17"/>
      <c r="H528" s="17"/>
      <c r="I528" s="17"/>
      <c r="J528" s="17"/>
      <c r="K528" s="17"/>
    </row>
    <row r="529">
      <c r="A529" s="29"/>
      <c r="B529" s="24"/>
      <c r="C529" s="17"/>
      <c r="D529" s="17"/>
      <c r="E529" s="17"/>
      <c r="F529" s="17"/>
      <c r="G529" s="17"/>
      <c r="H529" s="17"/>
      <c r="I529" s="17"/>
      <c r="J529" s="17"/>
      <c r="K529" s="17"/>
    </row>
    <row r="530">
      <c r="A530" s="29"/>
      <c r="B530" s="24"/>
      <c r="C530" s="17"/>
      <c r="D530" s="17"/>
      <c r="E530" s="17"/>
      <c r="F530" s="17"/>
      <c r="G530" s="17"/>
      <c r="H530" s="17"/>
      <c r="I530" s="17"/>
      <c r="J530" s="17"/>
      <c r="K530" s="17"/>
    </row>
    <row r="531">
      <c r="A531" s="29"/>
      <c r="B531" s="24"/>
      <c r="C531" s="17"/>
      <c r="D531" s="17"/>
      <c r="E531" s="17"/>
      <c r="F531" s="17"/>
      <c r="G531" s="17"/>
      <c r="H531" s="17"/>
      <c r="I531" s="17"/>
      <c r="J531" s="17"/>
      <c r="K531" s="17"/>
    </row>
    <row r="532">
      <c r="A532" s="29"/>
      <c r="B532" s="24"/>
      <c r="C532" s="17"/>
      <c r="D532" s="17"/>
      <c r="E532" s="17"/>
      <c r="F532" s="17"/>
      <c r="G532" s="17"/>
      <c r="H532" s="17"/>
      <c r="I532" s="17"/>
      <c r="J532" s="17"/>
      <c r="K532" s="17"/>
    </row>
    <row r="533">
      <c r="A533" s="29"/>
      <c r="B533" s="24"/>
      <c r="C533" s="17"/>
      <c r="D533" s="17"/>
      <c r="E533" s="17"/>
      <c r="F533" s="17"/>
      <c r="G533" s="17"/>
      <c r="H533" s="17"/>
      <c r="I533" s="17"/>
      <c r="J533" s="17"/>
      <c r="K533" s="17"/>
    </row>
    <row r="534">
      <c r="A534" s="29"/>
      <c r="B534" s="24"/>
      <c r="C534" s="17"/>
      <c r="D534" s="17"/>
      <c r="E534" s="17"/>
      <c r="F534" s="17"/>
      <c r="G534" s="17"/>
      <c r="H534" s="17"/>
      <c r="I534" s="17"/>
      <c r="J534" s="17"/>
      <c r="K534" s="17"/>
    </row>
    <row r="535">
      <c r="A535" s="29"/>
      <c r="B535" s="24"/>
      <c r="C535" s="17"/>
      <c r="D535" s="17"/>
      <c r="E535" s="17"/>
      <c r="F535" s="17"/>
      <c r="G535" s="17"/>
      <c r="H535" s="17"/>
      <c r="I535" s="17"/>
      <c r="J535" s="17"/>
      <c r="K535" s="17"/>
    </row>
    <row r="536">
      <c r="A536" s="29"/>
      <c r="B536" s="24"/>
      <c r="C536" s="17"/>
      <c r="D536" s="17"/>
      <c r="E536" s="17"/>
      <c r="F536" s="17"/>
      <c r="G536" s="17"/>
      <c r="H536" s="17"/>
      <c r="I536" s="17"/>
      <c r="J536" s="17"/>
      <c r="K536" s="17"/>
    </row>
    <row r="537">
      <c r="A537" s="29"/>
      <c r="B537" s="24"/>
      <c r="C537" s="17"/>
      <c r="D537" s="17"/>
      <c r="E537" s="17"/>
      <c r="F537" s="17"/>
      <c r="G537" s="17"/>
      <c r="H537" s="17"/>
      <c r="I537" s="17"/>
      <c r="J537" s="17"/>
      <c r="K537" s="17"/>
    </row>
    <row r="538">
      <c r="A538" s="29"/>
      <c r="B538" s="24"/>
      <c r="C538" s="17"/>
      <c r="D538" s="17"/>
      <c r="E538" s="17"/>
      <c r="F538" s="17"/>
      <c r="G538" s="17"/>
      <c r="H538" s="17"/>
      <c r="I538" s="17"/>
      <c r="J538" s="17"/>
      <c r="K538" s="17"/>
    </row>
    <row r="539">
      <c r="A539" s="29"/>
      <c r="B539" s="24"/>
      <c r="C539" s="17"/>
      <c r="D539" s="17"/>
      <c r="E539" s="17"/>
      <c r="F539" s="17"/>
      <c r="G539" s="17"/>
      <c r="H539" s="17"/>
      <c r="I539" s="17"/>
      <c r="J539" s="17"/>
      <c r="K539" s="17"/>
    </row>
    <row r="540">
      <c r="A540" s="29"/>
      <c r="B540" s="24"/>
      <c r="C540" s="17"/>
      <c r="D540" s="17"/>
      <c r="E540" s="17"/>
      <c r="F540" s="17"/>
      <c r="G540" s="17"/>
      <c r="H540" s="17"/>
      <c r="I540" s="17"/>
      <c r="J540" s="17"/>
      <c r="K540" s="17"/>
    </row>
    <row r="541">
      <c r="A541" s="29"/>
      <c r="B541" s="24"/>
      <c r="C541" s="17"/>
      <c r="D541" s="17"/>
      <c r="E541" s="17"/>
      <c r="F541" s="17"/>
      <c r="G541" s="17"/>
      <c r="H541" s="17"/>
      <c r="I541" s="17"/>
      <c r="J541" s="17"/>
      <c r="K541" s="17"/>
    </row>
    <row r="542">
      <c r="A542" s="29"/>
      <c r="B542" s="24"/>
      <c r="C542" s="17"/>
      <c r="D542" s="17"/>
      <c r="E542" s="17"/>
      <c r="F542" s="17"/>
      <c r="G542" s="17"/>
      <c r="H542" s="17"/>
      <c r="I542" s="17"/>
      <c r="J542" s="17"/>
      <c r="K542" s="17"/>
    </row>
    <row r="543">
      <c r="A543" s="29"/>
      <c r="B543" s="24"/>
      <c r="C543" s="17"/>
      <c r="D543" s="17"/>
      <c r="E543" s="17"/>
      <c r="F543" s="17"/>
      <c r="G543" s="17"/>
      <c r="H543" s="17"/>
      <c r="I543" s="17"/>
      <c r="J543" s="17"/>
      <c r="K543" s="17"/>
    </row>
    <row r="544">
      <c r="A544" s="29"/>
      <c r="B544" s="24"/>
      <c r="C544" s="17"/>
      <c r="D544" s="17"/>
      <c r="E544" s="17"/>
      <c r="F544" s="17"/>
      <c r="G544" s="17"/>
      <c r="H544" s="17"/>
      <c r="I544" s="17"/>
      <c r="J544" s="17"/>
      <c r="K544" s="17"/>
    </row>
    <row r="545">
      <c r="A545" s="29"/>
      <c r="B545" s="24"/>
      <c r="C545" s="17"/>
      <c r="D545" s="17"/>
      <c r="E545" s="17"/>
      <c r="F545" s="17"/>
      <c r="G545" s="17"/>
      <c r="H545" s="17"/>
      <c r="I545" s="17"/>
      <c r="J545" s="17"/>
      <c r="K545" s="17"/>
    </row>
    <row r="546">
      <c r="A546" s="29"/>
      <c r="B546" s="24"/>
      <c r="C546" s="17"/>
      <c r="D546" s="17"/>
      <c r="E546" s="17"/>
      <c r="F546" s="17"/>
      <c r="G546" s="17"/>
      <c r="H546" s="17"/>
      <c r="I546" s="17"/>
      <c r="J546" s="17"/>
      <c r="K546" s="17"/>
    </row>
    <row r="547">
      <c r="A547" s="29"/>
      <c r="B547" s="24"/>
      <c r="C547" s="17"/>
      <c r="D547" s="17"/>
      <c r="E547" s="17"/>
      <c r="F547" s="17"/>
      <c r="G547" s="17"/>
      <c r="H547" s="17"/>
      <c r="I547" s="17"/>
      <c r="J547" s="17"/>
      <c r="K547" s="17"/>
    </row>
    <row r="548">
      <c r="A548" s="29"/>
      <c r="B548" s="24"/>
      <c r="C548" s="17"/>
      <c r="D548" s="17"/>
      <c r="E548" s="17"/>
      <c r="F548" s="17"/>
      <c r="G548" s="17"/>
      <c r="H548" s="17"/>
      <c r="I548" s="17"/>
      <c r="J548" s="17"/>
      <c r="K548" s="17"/>
    </row>
    <row r="549">
      <c r="A549" s="29"/>
      <c r="B549" s="24"/>
      <c r="C549" s="17"/>
      <c r="D549" s="17"/>
      <c r="E549" s="17"/>
      <c r="F549" s="17"/>
      <c r="G549" s="17"/>
      <c r="H549" s="17"/>
      <c r="I549" s="17"/>
      <c r="J549" s="17"/>
      <c r="K549" s="17"/>
    </row>
    <row r="550">
      <c r="A550" s="29"/>
      <c r="B550" s="24"/>
      <c r="C550" s="17"/>
      <c r="D550" s="17"/>
      <c r="E550" s="17"/>
      <c r="F550" s="17"/>
      <c r="G550" s="17"/>
      <c r="H550" s="17"/>
      <c r="I550" s="17"/>
      <c r="J550" s="17"/>
      <c r="K550" s="17"/>
    </row>
    <row r="551">
      <c r="A551" s="29"/>
      <c r="B551" s="24"/>
      <c r="C551" s="17"/>
      <c r="D551" s="17"/>
      <c r="E551" s="17"/>
      <c r="F551" s="17"/>
      <c r="G551" s="17"/>
      <c r="H551" s="17"/>
      <c r="I551" s="17"/>
      <c r="J551" s="17"/>
      <c r="K551" s="17"/>
    </row>
    <row r="552">
      <c r="A552" s="29"/>
      <c r="B552" s="24"/>
      <c r="C552" s="17"/>
      <c r="D552" s="17"/>
      <c r="E552" s="17"/>
      <c r="F552" s="17"/>
      <c r="G552" s="17"/>
      <c r="H552" s="17"/>
      <c r="I552" s="17"/>
      <c r="J552" s="17"/>
      <c r="K552" s="17"/>
    </row>
    <row r="553">
      <c r="A553" s="29"/>
      <c r="B553" s="24"/>
      <c r="C553" s="17"/>
      <c r="D553" s="17"/>
      <c r="E553" s="17"/>
      <c r="F553" s="17"/>
      <c r="G553" s="17"/>
      <c r="H553" s="17"/>
      <c r="I553" s="17"/>
      <c r="J553" s="17"/>
      <c r="K553" s="17"/>
    </row>
    <row r="554">
      <c r="A554" s="29"/>
      <c r="B554" s="24"/>
      <c r="C554" s="17"/>
      <c r="D554" s="17"/>
      <c r="E554" s="17"/>
      <c r="F554" s="17"/>
      <c r="G554" s="17"/>
      <c r="H554" s="17"/>
      <c r="I554" s="17"/>
      <c r="J554" s="17"/>
      <c r="K554" s="17"/>
    </row>
    <row r="555">
      <c r="A555" s="29"/>
      <c r="B555" s="24"/>
      <c r="C555" s="17"/>
      <c r="D555" s="17"/>
      <c r="E555" s="17"/>
      <c r="F555" s="17"/>
      <c r="G555" s="17"/>
      <c r="H555" s="17"/>
      <c r="I555" s="17"/>
      <c r="J555" s="17"/>
      <c r="K555" s="17"/>
    </row>
    <row r="556">
      <c r="A556" s="29"/>
      <c r="B556" s="24"/>
      <c r="C556" s="17"/>
      <c r="D556" s="17"/>
      <c r="E556" s="17"/>
      <c r="F556" s="17"/>
      <c r="G556" s="17"/>
      <c r="H556" s="17"/>
      <c r="I556" s="17"/>
      <c r="J556" s="17"/>
      <c r="K556" s="17"/>
    </row>
    <row r="557">
      <c r="A557" s="29"/>
      <c r="B557" s="24"/>
      <c r="C557" s="17"/>
      <c r="D557" s="17"/>
      <c r="E557" s="17"/>
      <c r="F557" s="17"/>
      <c r="G557" s="17"/>
      <c r="H557" s="17"/>
      <c r="I557" s="17"/>
      <c r="J557" s="17"/>
      <c r="K557" s="17"/>
    </row>
    <row r="558">
      <c r="A558" s="29"/>
      <c r="B558" s="24"/>
      <c r="C558" s="17"/>
      <c r="D558" s="17"/>
      <c r="E558" s="17"/>
      <c r="F558" s="17"/>
      <c r="G558" s="17"/>
      <c r="H558" s="17"/>
      <c r="I558" s="17"/>
      <c r="J558" s="17"/>
      <c r="K558" s="17"/>
    </row>
    <row r="559">
      <c r="A559" s="29"/>
      <c r="B559" s="24"/>
      <c r="C559" s="17"/>
      <c r="D559" s="17"/>
      <c r="E559" s="17"/>
      <c r="F559" s="17"/>
      <c r="G559" s="17"/>
      <c r="H559" s="17"/>
      <c r="I559" s="17"/>
      <c r="J559" s="17"/>
      <c r="K559" s="17"/>
    </row>
    <row r="560">
      <c r="A560" s="29"/>
      <c r="B560" s="24"/>
      <c r="C560" s="17"/>
      <c r="D560" s="17"/>
      <c r="E560" s="17"/>
      <c r="F560" s="17"/>
      <c r="G560" s="17"/>
      <c r="H560" s="17"/>
      <c r="I560" s="17"/>
      <c r="J560" s="17"/>
      <c r="K560" s="17"/>
    </row>
    <row r="561">
      <c r="A561" s="29"/>
      <c r="B561" s="24"/>
      <c r="C561" s="17"/>
      <c r="D561" s="17"/>
      <c r="E561" s="17"/>
      <c r="F561" s="17"/>
      <c r="G561" s="17"/>
      <c r="H561" s="17"/>
      <c r="I561" s="17"/>
      <c r="J561" s="17"/>
      <c r="K561" s="17"/>
    </row>
    <row r="562">
      <c r="A562" s="29"/>
      <c r="B562" s="24"/>
      <c r="C562" s="17"/>
      <c r="D562" s="17"/>
      <c r="E562" s="17"/>
      <c r="F562" s="17"/>
      <c r="G562" s="17"/>
      <c r="H562" s="17"/>
      <c r="I562" s="17"/>
      <c r="J562" s="17"/>
      <c r="K562" s="17"/>
    </row>
    <row r="563">
      <c r="A563" s="29"/>
      <c r="B563" s="24"/>
      <c r="C563" s="17"/>
      <c r="D563" s="17"/>
      <c r="E563" s="17"/>
      <c r="F563" s="17"/>
      <c r="G563" s="17"/>
      <c r="H563" s="17"/>
      <c r="I563" s="17"/>
      <c r="J563" s="17"/>
      <c r="K563" s="17"/>
    </row>
    <row r="564">
      <c r="A564" s="29"/>
      <c r="B564" s="24"/>
      <c r="C564" s="17"/>
      <c r="D564" s="17"/>
      <c r="E564" s="17"/>
      <c r="F564" s="17"/>
      <c r="G564" s="17"/>
      <c r="H564" s="17"/>
      <c r="I564" s="17"/>
      <c r="J564" s="17"/>
      <c r="K564" s="17"/>
    </row>
    <row r="565">
      <c r="A565" s="29"/>
      <c r="B565" s="24"/>
      <c r="C565" s="17"/>
      <c r="D565" s="17"/>
      <c r="E565" s="17"/>
      <c r="F565" s="17"/>
      <c r="G565" s="17"/>
      <c r="H565" s="17"/>
      <c r="I565" s="17"/>
      <c r="J565" s="17"/>
      <c r="K565" s="17"/>
    </row>
    <row r="566">
      <c r="A566" s="29"/>
      <c r="B566" s="24"/>
      <c r="C566" s="17"/>
      <c r="D566" s="17"/>
      <c r="E566" s="17"/>
      <c r="F566" s="17"/>
      <c r="G566" s="17"/>
      <c r="H566" s="17"/>
      <c r="I566" s="17"/>
      <c r="J566" s="17"/>
      <c r="K566" s="17"/>
    </row>
    <row r="567">
      <c r="A567" s="29"/>
      <c r="B567" s="24"/>
      <c r="C567" s="17"/>
      <c r="D567" s="17"/>
      <c r="E567" s="17"/>
      <c r="F567" s="17"/>
      <c r="G567" s="17"/>
      <c r="H567" s="17"/>
      <c r="I567" s="17"/>
      <c r="J567" s="17"/>
      <c r="K567" s="17"/>
    </row>
    <row r="568">
      <c r="A568" s="29"/>
      <c r="B568" s="24"/>
      <c r="C568" s="17"/>
      <c r="D568" s="17"/>
      <c r="E568" s="17"/>
      <c r="F568" s="17"/>
      <c r="G568" s="17"/>
      <c r="H568" s="17"/>
      <c r="I568" s="17"/>
      <c r="J568" s="17"/>
      <c r="K568" s="17"/>
    </row>
    <row r="569">
      <c r="A569" s="29"/>
      <c r="B569" s="24"/>
      <c r="C569" s="17"/>
      <c r="D569" s="17"/>
      <c r="E569" s="17"/>
      <c r="F569" s="17"/>
      <c r="G569" s="17"/>
      <c r="H569" s="17"/>
      <c r="I569" s="17"/>
      <c r="J569" s="17"/>
      <c r="K569" s="17"/>
    </row>
    <row r="570">
      <c r="A570" s="29"/>
      <c r="B570" s="24"/>
      <c r="C570" s="17"/>
      <c r="D570" s="17"/>
      <c r="E570" s="17"/>
      <c r="F570" s="17"/>
      <c r="G570" s="17"/>
      <c r="H570" s="17"/>
      <c r="I570" s="17"/>
      <c r="J570" s="17"/>
      <c r="K570" s="17"/>
    </row>
    <row r="571">
      <c r="A571" s="29"/>
      <c r="B571" s="24"/>
      <c r="C571" s="17"/>
      <c r="D571" s="17"/>
      <c r="E571" s="17"/>
      <c r="F571" s="17"/>
      <c r="G571" s="17"/>
      <c r="H571" s="17"/>
      <c r="I571" s="17"/>
      <c r="J571" s="17"/>
      <c r="K571" s="17"/>
    </row>
    <row r="572">
      <c r="A572" s="29"/>
      <c r="B572" s="24"/>
      <c r="C572" s="17"/>
      <c r="D572" s="17"/>
      <c r="E572" s="17"/>
      <c r="F572" s="17"/>
      <c r="G572" s="17"/>
      <c r="H572" s="17"/>
      <c r="I572" s="17"/>
      <c r="J572" s="17"/>
      <c r="K572" s="17"/>
    </row>
    <row r="573">
      <c r="A573" s="29"/>
      <c r="B573" s="24"/>
      <c r="C573" s="17"/>
      <c r="D573" s="17"/>
      <c r="E573" s="17"/>
      <c r="F573" s="17"/>
      <c r="G573" s="17"/>
      <c r="H573" s="17"/>
      <c r="I573" s="17"/>
      <c r="J573" s="17"/>
      <c r="K573" s="17"/>
    </row>
    <row r="574">
      <c r="A574" s="29"/>
      <c r="B574" s="24"/>
      <c r="C574" s="17"/>
      <c r="D574" s="17"/>
      <c r="E574" s="17"/>
      <c r="F574" s="17"/>
      <c r="G574" s="17"/>
      <c r="H574" s="17"/>
      <c r="I574" s="17"/>
      <c r="J574" s="17"/>
      <c r="K574" s="17"/>
    </row>
    <row r="575">
      <c r="A575" s="29"/>
      <c r="B575" s="24"/>
      <c r="C575" s="17"/>
      <c r="D575" s="17"/>
      <c r="E575" s="17"/>
      <c r="F575" s="17"/>
      <c r="G575" s="17"/>
      <c r="H575" s="17"/>
      <c r="I575" s="17"/>
      <c r="J575" s="17"/>
      <c r="K575" s="17"/>
    </row>
    <row r="576">
      <c r="A576" s="29"/>
      <c r="B576" s="24"/>
      <c r="C576" s="17"/>
      <c r="D576" s="17"/>
      <c r="E576" s="17"/>
      <c r="F576" s="17"/>
      <c r="G576" s="17"/>
      <c r="H576" s="17"/>
      <c r="I576" s="17"/>
      <c r="J576" s="17"/>
      <c r="K576" s="17"/>
    </row>
    <row r="577">
      <c r="A577" s="29"/>
      <c r="B577" s="24"/>
      <c r="C577" s="17"/>
      <c r="D577" s="17"/>
      <c r="E577" s="17"/>
      <c r="F577" s="17"/>
      <c r="G577" s="17"/>
      <c r="H577" s="17"/>
      <c r="I577" s="17"/>
      <c r="J577" s="17"/>
      <c r="K577" s="17"/>
    </row>
    <row r="578">
      <c r="A578" s="29"/>
      <c r="B578" s="24"/>
      <c r="C578" s="17"/>
      <c r="D578" s="17"/>
      <c r="E578" s="17"/>
      <c r="F578" s="17"/>
      <c r="G578" s="17"/>
      <c r="H578" s="17"/>
      <c r="I578" s="17"/>
      <c r="J578" s="17"/>
      <c r="K578" s="17"/>
    </row>
    <row r="579">
      <c r="A579" s="29"/>
      <c r="B579" s="24"/>
      <c r="C579" s="17"/>
      <c r="D579" s="17"/>
      <c r="E579" s="17"/>
      <c r="F579" s="17"/>
      <c r="G579" s="17"/>
      <c r="H579" s="17"/>
      <c r="I579" s="17"/>
      <c r="J579" s="17"/>
      <c r="K579" s="17"/>
    </row>
    <row r="580">
      <c r="A580" s="29"/>
      <c r="B580" s="24"/>
      <c r="C580" s="17"/>
      <c r="D580" s="17"/>
      <c r="E580" s="17"/>
      <c r="F580" s="17"/>
      <c r="G580" s="17"/>
      <c r="H580" s="17"/>
      <c r="I580" s="17"/>
      <c r="J580" s="17"/>
      <c r="K580" s="17"/>
    </row>
    <row r="581">
      <c r="A581" s="29"/>
      <c r="B581" s="24"/>
      <c r="C581" s="17"/>
      <c r="D581" s="17"/>
      <c r="E581" s="17"/>
      <c r="F581" s="17"/>
      <c r="G581" s="17"/>
      <c r="H581" s="17"/>
      <c r="I581" s="17"/>
      <c r="J581" s="17"/>
      <c r="K581" s="17"/>
    </row>
    <row r="582">
      <c r="A582" s="29"/>
      <c r="B582" s="24"/>
      <c r="C582" s="17"/>
      <c r="D582" s="17"/>
      <c r="E582" s="17"/>
      <c r="F582" s="17"/>
      <c r="G582" s="17"/>
      <c r="H582" s="17"/>
      <c r="I582" s="17"/>
      <c r="J582" s="17"/>
      <c r="K582" s="17"/>
    </row>
    <row r="583">
      <c r="A583" s="29"/>
      <c r="B583" s="24"/>
      <c r="C583" s="17"/>
      <c r="D583" s="17"/>
      <c r="E583" s="17"/>
      <c r="F583" s="17"/>
      <c r="G583" s="17"/>
      <c r="H583" s="17"/>
      <c r="I583" s="17"/>
      <c r="J583" s="17"/>
      <c r="K583" s="17"/>
    </row>
    <row r="584">
      <c r="A584" s="29"/>
      <c r="B584" s="24"/>
      <c r="C584" s="17"/>
      <c r="D584" s="17"/>
      <c r="E584" s="17"/>
      <c r="F584" s="17"/>
      <c r="G584" s="17"/>
      <c r="H584" s="17"/>
      <c r="I584" s="17"/>
      <c r="J584" s="17"/>
      <c r="K584" s="17"/>
    </row>
    <row r="585">
      <c r="A585" s="29"/>
      <c r="B585" s="24"/>
      <c r="C585" s="17"/>
      <c r="D585" s="17"/>
      <c r="E585" s="17"/>
      <c r="F585" s="17"/>
      <c r="G585" s="17"/>
      <c r="H585" s="17"/>
      <c r="I585" s="17"/>
      <c r="J585" s="17"/>
      <c r="K585" s="17"/>
    </row>
    <row r="586">
      <c r="A586" s="29"/>
      <c r="B586" s="24"/>
      <c r="C586" s="17"/>
      <c r="D586" s="17"/>
      <c r="E586" s="17"/>
      <c r="F586" s="17"/>
      <c r="G586" s="17"/>
      <c r="H586" s="17"/>
      <c r="I586" s="17"/>
      <c r="J586" s="17"/>
      <c r="K586" s="17"/>
    </row>
    <row r="587">
      <c r="A587" s="29"/>
      <c r="B587" s="24"/>
      <c r="C587" s="17"/>
      <c r="D587" s="17"/>
      <c r="E587" s="17"/>
      <c r="F587" s="17"/>
      <c r="G587" s="17"/>
      <c r="H587" s="17"/>
      <c r="I587" s="17"/>
      <c r="J587" s="17"/>
      <c r="K587" s="17"/>
    </row>
    <row r="588">
      <c r="A588" s="29"/>
      <c r="B588" s="24"/>
      <c r="C588" s="17"/>
      <c r="D588" s="17"/>
      <c r="E588" s="17"/>
      <c r="F588" s="17"/>
      <c r="G588" s="17"/>
      <c r="H588" s="17"/>
      <c r="I588" s="17"/>
      <c r="J588" s="17"/>
      <c r="K588" s="17"/>
    </row>
    <row r="589">
      <c r="A589" s="29"/>
      <c r="B589" s="24"/>
      <c r="C589" s="17"/>
      <c r="D589" s="17"/>
      <c r="E589" s="17"/>
      <c r="F589" s="17"/>
      <c r="G589" s="17"/>
      <c r="H589" s="17"/>
      <c r="I589" s="17"/>
      <c r="J589" s="17"/>
      <c r="K589" s="17"/>
    </row>
    <row r="590">
      <c r="A590" s="29"/>
      <c r="B590" s="24"/>
      <c r="C590" s="17"/>
      <c r="D590" s="17"/>
      <c r="E590" s="17"/>
      <c r="F590" s="17"/>
      <c r="G590" s="17"/>
      <c r="H590" s="17"/>
      <c r="I590" s="17"/>
      <c r="J590" s="17"/>
      <c r="K590" s="17"/>
    </row>
    <row r="591">
      <c r="A591" s="29"/>
      <c r="B591" s="24"/>
      <c r="C591" s="17"/>
      <c r="D591" s="17"/>
      <c r="E591" s="17"/>
      <c r="F591" s="17"/>
      <c r="G591" s="17"/>
      <c r="H591" s="17"/>
      <c r="I591" s="17"/>
      <c r="J591" s="17"/>
      <c r="K591" s="17"/>
    </row>
    <row r="592">
      <c r="A592" s="29"/>
      <c r="B592" s="24"/>
      <c r="C592" s="17"/>
      <c r="D592" s="17"/>
      <c r="E592" s="17"/>
      <c r="F592" s="17"/>
      <c r="G592" s="17"/>
      <c r="H592" s="17"/>
      <c r="I592" s="17"/>
      <c r="J592" s="17"/>
      <c r="K592" s="17"/>
    </row>
    <row r="593">
      <c r="A593" s="29"/>
      <c r="B593" s="24"/>
      <c r="C593" s="17"/>
      <c r="D593" s="17"/>
      <c r="E593" s="17"/>
      <c r="F593" s="17"/>
      <c r="G593" s="17"/>
      <c r="H593" s="17"/>
      <c r="I593" s="17"/>
      <c r="J593" s="17"/>
      <c r="K593" s="17"/>
    </row>
    <row r="594">
      <c r="A594" s="29"/>
      <c r="B594" s="24"/>
      <c r="C594" s="17"/>
      <c r="D594" s="17"/>
      <c r="E594" s="17"/>
      <c r="F594" s="17"/>
      <c r="G594" s="17"/>
      <c r="H594" s="17"/>
      <c r="I594" s="17"/>
      <c r="J594" s="17"/>
      <c r="K594" s="17"/>
    </row>
    <row r="595">
      <c r="A595" s="29"/>
      <c r="B595" s="24"/>
      <c r="C595" s="17"/>
      <c r="D595" s="17"/>
      <c r="E595" s="17"/>
      <c r="F595" s="17"/>
      <c r="G595" s="17"/>
      <c r="H595" s="17"/>
      <c r="I595" s="17"/>
      <c r="J595" s="17"/>
      <c r="K595" s="17"/>
    </row>
    <row r="596">
      <c r="A596" s="29"/>
      <c r="B596" s="24"/>
      <c r="C596" s="17"/>
      <c r="D596" s="17"/>
      <c r="E596" s="17"/>
      <c r="F596" s="17"/>
      <c r="G596" s="17"/>
      <c r="H596" s="17"/>
      <c r="I596" s="17"/>
      <c r="J596" s="17"/>
      <c r="K596" s="17"/>
    </row>
    <row r="597">
      <c r="A597" s="29"/>
      <c r="B597" s="24"/>
      <c r="C597" s="17"/>
      <c r="D597" s="17"/>
      <c r="E597" s="17"/>
      <c r="F597" s="17"/>
      <c r="G597" s="17"/>
      <c r="H597" s="17"/>
      <c r="I597" s="17"/>
      <c r="J597" s="17"/>
      <c r="K597" s="17"/>
    </row>
    <row r="598">
      <c r="A598" s="29"/>
      <c r="B598" s="24"/>
      <c r="C598" s="17"/>
      <c r="D598" s="17"/>
      <c r="E598" s="17"/>
      <c r="F598" s="17"/>
      <c r="G598" s="17"/>
      <c r="H598" s="17"/>
      <c r="I598" s="17"/>
      <c r="J598" s="17"/>
      <c r="K598" s="17"/>
    </row>
    <row r="599">
      <c r="A599" s="29"/>
      <c r="B599" s="24"/>
      <c r="C599" s="17"/>
      <c r="D599" s="17"/>
      <c r="E599" s="17"/>
      <c r="F599" s="17"/>
      <c r="G599" s="17"/>
      <c r="H599" s="17"/>
      <c r="I599" s="17"/>
      <c r="J599" s="17"/>
      <c r="K599" s="17"/>
    </row>
    <row r="600">
      <c r="A600" s="29"/>
      <c r="B600" s="24"/>
      <c r="C600" s="17"/>
      <c r="D600" s="17"/>
      <c r="E600" s="17"/>
      <c r="F600" s="17"/>
      <c r="G600" s="17"/>
      <c r="H600" s="17"/>
      <c r="I600" s="17"/>
      <c r="J600" s="17"/>
      <c r="K600" s="17"/>
    </row>
    <row r="601">
      <c r="A601" s="29"/>
      <c r="B601" s="24"/>
      <c r="C601" s="17"/>
      <c r="D601" s="17"/>
      <c r="E601" s="17"/>
      <c r="F601" s="17"/>
      <c r="G601" s="17"/>
      <c r="H601" s="17"/>
      <c r="I601" s="17"/>
      <c r="J601" s="17"/>
      <c r="K601" s="17"/>
    </row>
    <row r="602">
      <c r="A602" s="29"/>
      <c r="B602" s="24"/>
      <c r="C602" s="17"/>
      <c r="D602" s="17"/>
      <c r="E602" s="17"/>
      <c r="F602" s="17"/>
      <c r="G602" s="17"/>
      <c r="H602" s="17"/>
      <c r="I602" s="17"/>
      <c r="J602" s="17"/>
      <c r="K602" s="17"/>
    </row>
    <row r="603">
      <c r="A603" s="29"/>
      <c r="B603" s="24"/>
      <c r="C603" s="17"/>
      <c r="D603" s="17"/>
      <c r="E603" s="17"/>
      <c r="F603" s="17"/>
      <c r="G603" s="17"/>
      <c r="H603" s="17"/>
      <c r="I603" s="17"/>
      <c r="J603" s="17"/>
      <c r="K603" s="17"/>
    </row>
    <row r="604">
      <c r="A604" s="29"/>
      <c r="B604" s="24"/>
      <c r="C604" s="17"/>
      <c r="D604" s="17"/>
      <c r="E604" s="17"/>
      <c r="F604" s="17"/>
      <c r="G604" s="17"/>
      <c r="H604" s="17"/>
      <c r="I604" s="17"/>
      <c r="J604" s="17"/>
      <c r="K604" s="17"/>
    </row>
    <row r="605">
      <c r="A605" s="29"/>
      <c r="B605" s="24"/>
      <c r="C605" s="17"/>
      <c r="D605" s="17"/>
      <c r="E605" s="17"/>
      <c r="F605" s="17"/>
      <c r="G605" s="17"/>
      <c r="H605" s="17"/>
      <c r="I605" s="17"/>
      <c r="J605" s="17"/>
      <c r="K605" s="17"/>
    </row>
    <row r="606">
      <c r="A606" s="29"/>
      <c r="B606" s="24"/>
      <c r="C606" s="17"/>
      <c r="D606" s="17"/>
      <c r="E606" s="17"/>
      <c r="F606" s="17"/>
      <c r="G606" s="17"/>
      <c r="H606" s="17"/>
      <c r="I606" s="17"/>
      <c r="J606" s="17"/>
      <c r="K606" s="17"/>
    </row>
    <row r="607">
      <c r="A607" s="29"/>
      <c r="B607" s="24"/>
      <c r="C607" s="17"/>
      <c r="D607" s="17"/>
      <c r="E607" s="17"/>
      <c r="F607" s="17"/>
      <c r="G607" s="17"/>
      <c r="H607" s="17"/>
      <c r="I607" s="17"/>
      <c r="J607" s="17"/>
      <c r="K607" s="17"/>
    </row>
    <row r="608">
      <c r="A608" s="29"/>
      <c r="B608" s="24"/>
      <c r="C608" s="17"/>
      <c r="D608" s="17"/>
      <c r="E608" s="17"/>
      <c r="F608" s="17"/>
      <c r="G608" s="17"/>
      <c r="H608" s="17"/>
      <c r="I608" s="17"/>
      <c r="J608" s="17"/>
      <c r="K608" s="17"/>
    </row>
    <row r="609">
      <c r="A609" s="29"/>
      <c r="B609" s="24"/>
      <c r="C609" s="17"/>
      <c r="D609" s="17"/>
      <c r="E609" s="17"/>
      <c r="F609" s="17"/>
      <c r="G609" s="17"/>
      <c r="H609" s="17"/>
      <c r="I609" s="17"/>
      <c r="J609" s="17"/>
      <c r="K609" s="17"/>
    </row>
    <row r="610">
      <c r="A610" s="29"/>
      <c r="B610" s="24"/>
      <c r="C610" s="17"/>
      <c r="D610" s="17"/>
      <c r="E610" s="17"/>
      <c r="F610" s="17"/>
      <c r="G610" s="17"/>
      <c r="H610" s="17"/>
      <c r="I610" s="17"/>
      <c r="J610" s="17"/>
      <c r="K610" s="17"/>
    </row>
    <row r="611">
      <c r="A611" s="29"/>
      <c r="B611" s="24"/>
      <c r="C611" s="17"/>
      <c r="D611" s="17"/>
      <c r="E611" s="17"/>
      <c r="F611" s="17"/>
      <c r="G611" s="17"/>
      <c r="H611" s="17"/>
      <c r="I611" s="17"/>
      <c r="J611" s="17"/>
      <c r="K611" s="17"/>
    </row>
    <row r="612">
      <c r="A612" s="29"/>
      <c r="B612" s="24"/>
      <c r="C612" s="17"/>
      <c r="D612" s="17"/>
      <c r="E612" s="17"/>
      <c r="F612" s="17"/>
      <c r="G612" s="17"/>
      <c r="H612" s="17"/>
      <c r="I612" s="17"/>
      <c r="J612" s="17"/>
      <c r="K612" s="17"/>
    </row>
    <row r="613">
      <c r="A613" s="29"/>
      <c r="B613" s="24"/>
      <c r="C613" s="17"/>
      <c r="D613" s="17"/>
      <c r="E613" s="17"/>
      <c r="F613" s="17"/>
      <c r="G613" s="17"/>
      <c r="H613" s="17"/>
      <c r="I613" s="17"/>
      <c r="J613" s="17"/>
      <c r="K613" s="17"/>
    </row>
    <row r="614">
      <c r="A614" s="29"/>
      <c r="B614" s="24"/>
      <c r="C614" s="17"/>
      <c r="D614" s="17"/>
      <c r="E614" s="17"/>
      <c r="F614" s="17"/>
      <c r="G614" s="17"/>
      <c r="H614" s="17"/>
      <c r="I614" s="17"/>
      <c r="J614" s="17"/>
      <c r="K614" s="17"/>
    </row>
    <row r="615">
      <c r="A615" s="29"/>
      <c r="B615" s="24"/>
      <c r="C615" s="17"/>
      <c r="D615" s="17"/>
      <c r="E615" s="17"/>
      <c r="F615" s="17"/>
      <c r="G615" s="17"/>
      <c r="H615" s="17"/>
      <c r="I615" s="17"/>
      <c r="J615" s="17"/>
      <c r="K615" s="17"/>
    </row>
    <row r="616">
      <c r="A616" s="29"/>
      <c r="B616" s="24"/>
      <c r="C616" s="17"/>
      <c r="D616" s="17"/>
      <c r="E616" s="17"/>
      <c r="F616" s="17"/>
      <c r="G616" s="17"/>
      <c r="H616" s="17"/>
      <c r="I616" s="17"/>
      <c r="J616" s="17"/>
      <c r="K616" s="17"/>
    </row>
    <row r="617">
      <c r="A617" s="29"/>
      <c r="B617" s="24"/>
      <c r="C617" s="17"/>
      <c r="D617" s="17"/>
      <c r="E617" s="17"/>
      <c r="F617" s="17"/>
      <c r="G617" s="17"/>
      <c r="H617" s="17"/>
      <c r="I617" s="17"/>
      <c r="J617" s="17"/>
      <c r="K617" s="17"/>
    </row>
    <row r="618">
      <c r="A618" s="29"/>
      <c r="B618" s="24"/>
      <c r="C618" s="17"/>
      <c r="D618" s="17"/>
      <c r="E618" s="17"/>
      <c r="F618" s="17"/>
      <c r="G618" s="17"/>
      <c r="H618" s="17"/>
      <c r="I618" s="17"/>
      <c r="J618" s="17"/>
      <c r="K618" s="17"/>
    </row>
    <row r="619">
      <c r="A619" s="29"/>
      <c r="B619" s="24"/>
      <c r="C619" s="17"/>
      <c r="D619" s="17"/>
      <c r="E619" s="17"/>
      <c r="F619" s="17"/>
      <c r="G619" s="17"/>
      <c r="H619" s="17"/>
      <c r="I619" s="17"/>
      <c r="J619" s="17"/>
      <c r="K619" s="17"/>
    </row>
    <row r="620">
      <c r="A620" s="29"/>
      <c r="B620" s="24"/>
      <c r="C620" s="17"/>
      <c r="D620" s="17"/>
      <c r="E620" s="17"/>
      <c r="F620" s="17"/>
      <c r="G620" s="17"/>
      <c r="H620" s="17"/>
      <c r="I620" s="17"/>
      <c r="J620" s="17"/>
      <c r="K620" s="17"/>
    </row>
    <row r="621">
      <c r="A621" s="29"/>
      <c r="B621" s="24"/>
      <c r="C621" s="17"/>
      <c r="D621" s="17"/>
      <c r="E621" s="17"/>
      <c r="F621" s="17"/>
      <c r="G621" s="17"/>
      <c r="H621" s="17"/>
      <c r="I621" s="17"/>
      <c r="J621" s="17"/>
      <c r="K621" s="17"/>
    </row>
    <row r="622">
      <c r="A622" s="29"/>
      <c r="B622" s="24"/>
      <c r="C622" s="17"/>
      <c r="D622" s="17"/>
      <c r="E622" s="17"/>
      <c r="F622" s="17"/>
      <c r="G622" s="17"/>
      <c r="H622" s="17"/>
      <c r="I622" s="17"/>
      <c r="J622" s="17"/>
      <c r="K622" s="17"/>
    </row>
    <row r="623">
      <c r="A623" s="29"/>
      <c r="B623" s="24"/>
      <c r="C623" s="17"/>
      <c r="D623" s="17"/>
      <c r="E623" s="17"/>
      <c r="F623" s="17"/>
      <c r="G623" s="17"/>
      <c r="H623" s="17"/>
      <c r="I623" s="17"/>
      <c r="J623" s="17"/>
      <c r="K623" s="17"/>
    </row>
    <row r="624">
      <c r="A624" s="29"/>
      <c r="B624" s="24"/>
      <c r="C624" s="17"/>
      <c r="D624" s="17"/>
      <c r="E624" s="17"/>
      <c r="F624" s="17"/>
      <c r="G624" s="17"/>
      <c r="H624" s="17"/>
      <c r="I624" s="17"/>
      <c r="J624" s="17"/>
      <c r="K624" s="17"/>
    </row>
    <row r="625">
      <c r="A625" s="29"/>
      <c r="B625" s="24"/>
      <c r="C625" s="17"/>
      <c r="D625" s="17"/>
      <c r="E625" s="17"/>
      <c r="F625" s="17"/>
      <c r="G625" s="17"/>
      <c r="H625" s="17"/>
      <c r="I625" s="17"/>
      <c r="J625" s="17"/>
      <c r="K625" s="17"/>
    </row>
    <row r="626">
      <c r="A626" s="29"/>
      <c r="B626" s="24"/>
      <c r="C626" s="17"/>
      <c r="D626" s="17"/>
      <c r="E626" s="17"/>
      <c r="F626" s="17"/>
      <c r="G626" s="17"/>
      <c r="H626" s="17"/>
      <c r="I626" s="17"/>
      <c r="J626" s="17"/>
      <c r="K626" s="17"/>
    </row>
    <row r="627">
      <c r="A627" s="29"/>
      <c r="B627" s="24"/>
      <c r="C627" s="17"/>
      <c r="D627" s="17"/>
      <c r="E627" s="17"/>
      <c r="F627" s="17"/>
      <c r="G627" s="17"/>
      <c r="H627" s="17"/>
      <c r="I627" s="17"/>
      <c r="J627" s="17"/>
      <c r="K627" s="17"/>
    </row>
    <row r="628">
      <c r="A628" s="29"/>
      <c r="B628" s="24"/>
      <c r="C628" s="17"/>
      <c r="D628" s="17"/>
      <c r="E628" s="17"/>
      <c r="F628" s="17"/>
      <c r="G628" s="17"/>
      <c r="H628" s="17"/>
      <c r="I628" s="17"/>
      <c r="J628" s="17"/>
      <c r="K628" s="17"/>
    </row>
    <row r="629">
      <c r="A629" s="29"/>
      <c r="B629" s="24"/>
      <c r="C629" s="17"/>
      <c r="D629" s="17"/>
      <c r="E629" s="17"/>
      <c r="F629" s="17"/>
      <c r="G629" s="17"/>
      <c r="H629" s="17"/>
      <c r="I629" s="17"/>
      <c r="J629" s="17"/>
      <c r="K629" s="17"/>
    </row>
    <row r="630">
      <c r="A630" s="29"/>
      <c r="B630" s="24"/>
      <c r="C630" s="17"/>
      <c r="D630" s="17"/>
      <c r="E630" s="17"/>
      <c r="F630" s="17"/>
      <c r="G630" s="17"/>
      <c r="H630" s="17"/>
      <c r="I630" s="17"/>
      <c r="J630" s="17"/>
      <c r="K630" s="17"/>
    </row>
    <row r="631">
      <c r="A631" s="29"/>
      <c r="B631" s="24"/>
      <c r="C631" s="17"/>
      <c r="D631" s="17"/>
      <c r="E631" s="17"/>
      <c r="F631" s="17"/>
      <c r="G631" s="17"/>
      <c r="H631" s="17"/>
      <c r="I631" s="17"/>
      <c r="J631" s="17"/>
      <c r="K631" s="17"/>
    </row>
    <row r="632">
      <c r="A632" s="29"/>
      <c r="B632" s="24"/>
      <c r="C632" s="17"/>
      <c r="D632" s="17"/>
      <c r="E632" s="17"/>
      <c r="F632" s="17"/>
      <c r="G632" s="17"/>
      <c r="H632" s="17"/>
      <c r="I632" s="17"/>
      <c r="J632" s="17"/>
      <c r="K632" s="17"/>
    </row>
    <row r="633">
      <c r="A633" s="29"/>
      <c r="B633" s="24"/>
      <c r="C633" s="17"/>
      <c r="D633" s="17"/>
      <c r="E633" s="17"/>
      <c r="F633" s="17"/>
      <c r="G633" s="17"/>
      <c r="H633" s="17"/>
      <c r="I633" s="17"/>
      <c r="J633" s="17"/>
      <c r="K633" s="17"/>
    </row>
    <row r="634">
      <c r="A634" s="29"/>
      <c r="B634" s="24"/>
      <c r="C634" s="17"/>
      <c r="D634" s="17"/>
      <c r="E634" s="17"/>
      <c r="F634" s="17"/>
      <c r="G634" s="17"/>
      <c r="H634" s="17"/>
      <c r="I634" s="17"/>
      <c r="J634" s="17"/>
      <c r="K634" s="17"/>
    </row>
    <row r="635">
      <c r="A635" s="29"/>
      <c r="B635" s="24"/>
      <c r="C635" s="17"/>
      <c r="D635" s="17"/>
      <c r="E635" s="17"/>
      <c r="F635" s="17"/>
      <c r="G635" s="17"/>
      <c r="H635" s="17"/>
      <c r="I635" s="17"/>
      <c r="J635" s="17"/>
      <c r="K635" s="17"/>
    </row>
    <row r="636">
      <c r="A636" s="29"/>
      <c r="B636" s="24"/>
      <c r="C636" s="17"/>
      <c r="D636" s="17"/>
      <c r="E636" s="17"/>
      <c r="F636" s="17"/>
      <c r="G636" s="17"/>
      <c r="H636" s="17"/>
      <c r="I636" s="17"/>
      <c r="J636" s="17"/>
      <c r="K636" s="17"/>
    </row>
    <row r="637">
      <c r="A637" s="29"/>
      <c r="B637" s="24"/>
      <c r="C637" s="17"/>
      <c r="D637" s="17"/>
      <c r="E637" s="17"/>
      <c r="F637" s="17"/>
      <c r="G637" s="17"/>
      <c r="H637" s="17"/>
      <c r="I637" s="17"/>
      <c r="J637" s="17"/>
      <c r="K637" s="17"/>
    </row>
    <row r="638">
      <c r="A638" s="29"/>
      <c r="B638" s="24"/>
      <c r="C638" s="17"/>
      <c r="D638" s="17"/>
      <c r="E638" s="17"/>
      <c r="F638" s="17"/>
      <c r="G638" s="17"/>
      <c r="H638" s="17"/>
      <c r="I638" s="17"/>
      <c r="J638" s="17"/>
      <c r="K638" s="17"/>
    </row>
    <row r="639">
      <c r="A639" s="29"/>
      <c r="B639" s="24"/>
      <c r="C639" s="17"/>
      <c r="D639" s="17"/>
      <c r="E639" s="17"/>
      <c r="F639" s="17"/>
      <c r="G639" s="17"/>
      <c r="H639" s="17"/>
      <c r="I639" s="17"/>
      <c r="J639" s="17"/>
      <c r="K639" s="17"/>
    </row>
    <row r="640">
      <c r="A640" s="29"/>
      <c r="B640" s="24"/>
      <c r="C640" s="17"/>
      <c r="D640" s="17"/>
      <c r="E640" s="17"/>
      <c r="F640" s="17"/>
      <c r="G640" s="17"/>
      <c r="H640" s="17"/>
      <c r="I640" s="17"/>
      <c r="J640" s="17"/>
      <c r="K640" s="17"/>
    </row>
    <row r="641">
      <c r="A641" s="29"/>
      <c r="B641" s="24"/>
      <c r="C641" s="17"/>
      <c r="D641" s="17"/>
      <c r="E641" s="17"/>
      <c r="F641" s="17"/>
      <c r="G641" s="17"/>
      <c r="H641" s="17"/>
      <c r="I641" s="17"/>
      <c r="J641" s="17"/>
      <c r="K641" s="17"/>
    </row>
    <row r="642">
      <c r="A642" s="29"/>
      <c r="B642" s="24"/>
      <c r="C642" s="17"/>
      <c r="D642" s="17"/>
      <c r="E642" s="17"/>
      <c r="F642" s="17"/>
      <c r="G642" s="17"/>
      <c r="H642" s="17"/>
      <c r="I642" s="17"/>
      <c r="J642" s="17"/>
      <c r="K642" s="17"/>
    </row>
    <row r="643">
      <c r="A643" s="29"/>
      <c r="B643" s="24"/>
      <c r="C643" s="17"/>
      <c r="D643" s="17"/>
      <c r="E643" s="17"/>
      <c r="F643" s="17"/>
      <c r="G643" s="17"/>
      <c r="H643" s="17"/>
      <c r="I643" s="17"/>
      <c r="J643" s="17"/>
      <c r="K643" s="17"/>
    </row>
    <row r="644">
      <c r="A644" s="29"/>
      <c r="B644" s="24"/>
      <c r="C644" s="17"/>
      <c r="D644" s="17"/>
      <c r="E644" s="17"/>
      <c r="F644" s="17"/>
      <c r="G644" s="17"/>
      <c r="H644" s="17"/>
      <c r="I644" s="17"/>
      <c r="J644" s="17"/>
      <c r="K644" s="17"/>
    </row>
    <row r="645">
      <c r="A645" s="29"/>
      <c r="B645" s="24"/>
      <c r="C645" s="17"/>
      <c r="D645" s="17"/>
      <c r="E645" s="17"/>
      <c r="F645" s="17"/>
      <c r="G645" s="17"/>
      <c r="H645" s="17"/>
      <c r="I645" s="17"/>
      <c r="J645" s="17"/>
      <c r="K645" s="17"/>
    </row>
    <row r="646">
      <c r="A646" s="29"/>
      <c r="B646" s="24"/>
      <c r="C646" s="17"/>
      <c r="D646" s="17"/>
      <c r="E646" s="17"/>
      <c r="F646" s="17"/>
      <c r="G646" s="17"/>
      <c r="H646" s="17"/>
      <c r="I646" s="17"/>
      <c r="J646" s="17"/>
      <c r="K646" s="17"/>
    </row>
    <row r="647">
      <c r="A647" s="29"/>
      <c r="B647" s="24"/>
      <c r="C647" s="17"/>
      <c r="D647" s="17"/>
      <c r="E647" s="17"/>
      <c r="F647" s="17"/>
      <c r="G647" s="17"/>
      <c r="H647" s="17"/>
      <c r="I647" s="17"/>
      <c r="J647" s="17"/>
      <c r="K647" s="17"/>
    </row>
    <row r="648">
      <c r="A648" s="29"/>
      <c r="B648" s="24"/>
      <c r="C648" s="17"/>
      <c r="D648" s="17"/>
      <c r="E648" s="17"/>
      <c r="F648" s="17"/>
      <c r="G648" s="17"/>
      <c r="H648" s="17"/>
      <c r="I648" s="17"/>
      <c r="J648" s="17"/>
      <c r="K648" s="17"/>
    </row>
    <row r="649">
      <c r="A649" s="29"/>
      <c r="B649" s="24"/>
      <c r="C649" s="17"/>
      <c r="D649" s="17"/>
      <c r="E649" s="17"/>
      <c r="F649" s="17"/>
      <c r="G649" s="17"/>
      <c r="H649" s="17"/>
      <c r="I649" s="17"/>
      <c r="J649" s="17"/>
      <c r="K649" s="17"/>
    </row>
    <row r="650">
      <c r="A650" s="29"/>
      <c r="B650" s="24"/>
      <c r="C650" s="17"/>
      <c r="D650" s="17"/>
      <c r="E650" s="17"/>
      <c r="F650" s="17"/>
      <c r="G650" s="17"/>
      <c r="H650" s="17"/>
      <c r="I650" s="17"/>
      <c r="J650" s="17"/>
      <c r="K650" s="17"/>
    </row>
    <row r="651">
      <c r="A651" s="29"/>
      <c r="B651" s="24"/>
      <c r="C651" s="17"/>
      <c r="D651" s="17"/>
      <c r="E651" s="17"/>
      <c r="F651" s="17"/>
      <c r="G651" s="17"/>
      <c r="H651" s="17"/>
      <c r="I651" s="17"/>
      <c r="J651" s="17"/>
      <c r="K651" s="17"/>
    </row>
    <row r="652">
      <c r="A652" s="29"/>
      <c r="B652" s="24"/>
      <c r="C652" s="17"/>
      <c r="D652" s="17"/>
      <c r="E652" s="17"/>
      <c r="F652" s="17"/>
      <c r="G652" s="17"/>
      <c r="H652" s="17"/>
      <c r="I652" s="17"/>
      <c r="J652" s="17"/>
      <c r="K652" s="17"/>
    </row>
    <row r="653">
      <c r="A653" s="29"/>
      <c r="B653" s="24"/>
      <c r="C653" s="17"/>
      <c r="D653" s="17"/>
      <c r="E653" s="17"/>
      <c r="F653" s="17"/>
      <c r="G653" s="17"/>
      <c r="H653" s="17"/>
      <c r="I653" s="17"/>
      <c r="J653" s="17"/>
      <c r="K653" s="17"/>
    </row>
    <row r="654">
      <c r="A654" s="29"/>
      <c r="B654" s="24"/>
      <c r="C654" s="17"/>
      <c r="D654" s="17"/>
      <c r="E654" s="17"/>
      <c r="F654" s="17"/>
      <c r="G654" s="17"/>
      <c r="H654" s="17"/>
      <c r="I654" s="17"/>
      <c r="J654" s="17"/>
      <c r="K654" s="17"/>
    </row>
    <row r="655">
      <c r="A655" s="29"/>
      <c r="B655" s="24"/>
      <c r="C655" s="17"/>
      <c r="D655" s="17"/>
      <c r="E655" s="17"/>
      <c r="F655" s="17"/>
      <c r="G655" s="17"/>
      <c r="H655" s="17"/>
      <c r="I655" s="17"/>
      <c r="J655" s="17"/>
      <c r="K655" s="17"/>
    </row>
    <row r="656">
      <c r="A656" s="29"/>
      <c r="B656" s="24"/>
      <c r="C656" s="17"/>
      <c r="D656" s="17"/>
      <c r="E656" s="17"/>
      <c r="F656" s="17"/>
      <c r="G656" s="17"/>
      <c r="H656" s="17"/>
      <c r="I656" s="17"/>
      <c r="J656" s="17"/>
      <c r="K656" s="17"/>
    </row>
    <row r="657">
      <c r="A657" s="29"/>
      <c r="B657" s="24"/>
      <c r="C657" s="17"/>
      <c r="D657" s="17"/>
      <c r="E657" s="17"/>
      <c r="F657" s="17"/>
      <c r="G657" s="17"/>
      <c r="H657" s="17"/>
      <c r="I657" s="17"/>
      <c r="J657" s="17"/>
      <c r="K657" s="17"/>
    </row>
    <row r="658">
      <c r="A658" s="29"/>
      <c r="B658" s="24"/>
      <c r="C658" s="17"/>
      <c r="D658" s="17"/>
      <c r="E658" s="17"/>
      <c r="F658" s="17"/>
      <c r="G658" s="17"/>
      <c r="H658" s="17"/>
      <c r="I658" s="17"/>
      <c r="J658" s="17"/>
      <c r="K658" s="17"/>
    </row>
    <row r="659">
      <c r="A659" s="29"/>
      <c r="B659" s="24"/>
      <c r="C659" s="17"/>
      <c r="D659" s="17"/>
      <c r="E659" s="17"/>
      <c r="F659" s="17"/>
      <c r="G659" s="17"/>
      <c r="H659" s="17"/>
      <c r="I659" s="17"/>
      <c r="J659" s="17"/>
      <c r="K659" s="17"/>
    </row>
    <row r="660">
      <c r="A660" s="29"/>
      <c r="B660" s="24"/>
      <c r="C660" s="17"/>
      <c r="D660" s="17"/>
      <c r="E660" s="17"/>
      <c r="F660" s="17"/>
      <c r="G660" s="17"/>
      <c r="H660" s="17"/>
      <c r="I660" s="17"/>
      <c r="J660" s="17"/>
      <c r="K660" s="17"/>
    </row>
    <row r="661">
      <c r="A661" s="29"/>
      <c r="B661" s="24"/>
      <c r="C661" s="17"/>
      <c r="D661" s="17"/>
      <c r="E661" s="17"/>
      <c r="F661" s="17"/>
      <c r="G661" s="17"/>
      <c r="H661" s="17"/>
      <c r="I661" s="17"/>
      <c r="J661" s="17"/>
      <c r="K661" s="17"/>
    </row>
    <row r="662">
      <c r="A662" s="29"/>
      <c r="B662" s="24"/>
      <c r="C662" s="17"/>
      <c r="D662" s="17"/>
      <c r="E662" s="17"/>
      <c r="F662" s="17"/>
      <c r="G662" s="17"/>
      <c r="H662" s="17"/>
      <c r="I662" s="17"/>
      <c r="J662" s="17"/>
      <c r="K662" s="17"/>
    </row>
    <row r="663">
      <c r="A663" s="29"/>
      <c r="B663" s="24"/>
      <c r="C663" s="17"/>
      <c r="D663" s="17"/>
      <c r="E663" s="17"/>
      <c r="F663" s="17"/>
      <c r="G663" s="17"/>
      <c r="H663" s="17"/>
      <c r="I663" s="17"/>
      <c r="J663" s="17"/>
      <c r="K663" s="17"/>
    </row>
    <row r="664">
      <c r="A664" s="29"/>
      <c r="B664" s="24"/>
      <c r="C664" s="17"/>
      <c r="D664" s="17"/>
      <c r="E664" s="17"/>
      <c r="F664" s="17"/>
      <c r="G664" s="17"/>
      <c r="H664" s="17"/>
      <c r="I664" s="17"/>
      <c r="J664" s="17"/>
      <c r="K664" s="17"/>
    </row>
    <row r="665">
      <c r="A665" s="29"/>
      <c r="B665" s="24"/>
      <c r="C665" s="17"/>
      <c r="D665" s="17"/>
      <c r="E665" s="17"/>
      <c r="F665" s="17"/>
      <c r="G665" s="17"/>
      <c r="H665" s="17"/>
      <c r="I665" s="17"/>
      <c r="J665" s="17"/>
      <c r="K665" s="17"/>
    </row>
    <row r="666">
      <c r="A666" s="29"/>
      <c r="B666" s="24"/>
      <c r="C666" s="17"/>
      <c r="D666" s="17"/>
      <c r="E666" s="17"/>
      <c r="F666" s="17"/>
      <c r="G666" s="17"/>
      <c r="H666" s="17"/>
      <c r="I666" s="17"/>
      <c r="J666" s="17"/>
      <c r="K666" s="17"/>
    </row>
    <row r="667">
      <c r="A667" s="29"/>
      <c r="B667" s="24"/>
      <c r="C667" s="17"/>
      <c r="D667" s="17"/>
      <c r="E667" s="17"/>
      <c r="F667" s="17"/>
      <c r="G667" s="17"/>
      <c r="H667" s="17"/>
      <c r="I667" s="17"/>
      <c r="J667" s="17"/>
      <c r="K667" s="17"/>
    </row>
    <row r="668">
      <c r="A668" s="29"/>
      <c r="B668" s="24"/>
      <c r="C668" s="17"/>
      <c r="D668" s="17"/>
      <c r="E668" s="17"/>
      <c r="F668" s="17"/>
      <c r="G668" s="17"/>
      <c r="H668" s="17"/>
      <c r="I668" s="17"/>
      <c r="J668" s="17"/>
      <c r="K668" s="17"/>
    </row>
    <row r="669">
      <c r="A669" s="29"/>
      <c r="B669" s="24"/>
      <c r="C669" s="17"/>
      <c r="D669" s="17"/>
      <c r="E669" s="17"/>
      <c r="F669" s="17"/>
      <c r="G669" s="17"/>
      <c r="H669" s="17"/>
      <c r="I669" s="17"/>
      <c r="J669" s="17"/>
      <c r="K669" s="17"/>
    </row>
    <row r="670">
      <c r="A670" s="29"/>
      <c r="B670" s="24"/>
      <c r="C670" s="17"/>
      <c r="D670" s="17"/>
      <c r="E670" s="17"/>
      <c r="F670" s="17"/>
      <c r="G670" s="17"/>
      <c r="H670" s="17"/>
      <c r="I670" s="17"/>
      <c r="J670" s="17"/>
      <c r="K670" s="17"/>
    </row>
    <row r="671">
      <c r="A671" s="29"/>
      <c r="B671" s="24"/>
      <c r="C671" s="17"/>
      <c r="D671" s="17"/>
      <c r="E671" s="17"/>
      <c r="F671" s="17"/>
      <c r="G671" s="17"/>
      <c r="H671" s="17"/>
      <c r="I671" s="17"/>
      <c r="J671" s="17"/>
      <c r="K671" s="17"/>
    </row>
    <row r="672">
      <c r="A672" s="29"/>
      <c r="B672" s="24"/>
      <c r="C672" s="17"/>
      <c r="D672" s="17"/>
      <c r="E672" s="17"/>
      <c r="F672" s="17"/>
      <c r="G672" s="17"/>
      <c r="H672" s="17"/>
      <c r="I672" s="17"/>
      <c r="J672" s="17"/>
      <c r="K672" s="17"/>
    </row>
    <row r="673">
      <c r="A673" s="29"/>
      <c r="B673" s="24"/>
      <c r="C673" s="17"/>
      <c r="D673" s="17"/>
      <c r="E673" s="17"/>
      <c r="F673" s="17"/>
      <c r="G673" s="17"/>
      <c r="H673" s="17"/>
      <c r="I673" s="17"/>
      <c r="J673" s="17"/>
      <c r="K673" s="17"/>
    </row>
    <row r="674">
      <c r="A674" s="29"/>
      <c r="B674" s="24"/>
      <c r="C674" s="17"/>
      <c r="D674" s="17"/>
      <c r="E674" s="17"/>
      <c r="F674" s="17"/>
      <c r="G674" s="17"/>
      <c r="H674" s="17"/>
      <c r="I674" s="17"/>
      <c r="J674" s="17"/>
      <c r="K674" s="17"/>
    </row>
    <row r="675">
      <c r="A675" s="29"/>
      <c r="B675" s="24"/>
      <c r="C675" s="17"/>
      <c r="D675" s="17"/>
      <c r="E675" s="17"/>
      <c r="F675" s="17"/>
      <c r="G675" s="17"/>
      <c r="H675" s="17"/>
      <c r="I675" s="17"/>
      <c r="J675" s="17"/>
      <c r="K675" s="17"/>
    </row>
    <row r="676">
      <c r="A676" s="29"/>
      <c r="B676" s="24"/>
      <c r="C676" s="17"/>
      <c r="D676" s="17"/>
      <c r="E676" s="17"/>
      <c r="F676" s="17"/>
      <c r="G676" s="17"/>
      <c r="H676" s="17"/>
      <c r="I676" s="17"/>
      <c r="J676" s="17"/>
      <c r="K676" s="17"/>
    </row>
    <row r="677">
      <c r="A677" s="29"/>
      <c r="B677" s="24"/>
      <c r="C677" s="17"/>
      <c r="D677" s="17"/>
      <c r="E677" s="17"/>
      <c r="F677" s="17"/>
      <c r="G677" s="17"/>
      <c r="H677" s="17"/>
      <c r="I677" s="17"/>
      <c r="J677" s="17"/>
      <c r="K677" s="17"/>
    </row>
    <row r="678">
      <c r="A678" s="29"/>
      <c r="B678" s="24"/>
      <c r="C678" s="17"/>
      <c r="D678" s="17"/>
      <c r="E678" s="17"/>
      <c r="F678" s="17"/>
      <c r="G678" s="17"/>
      <c r="H678" s="17"/>
      <c r="I678" s="17"/>
      <c r="J678" s="17"/>
      <c r="K678" s="17"/>
    </row>
    <row r="679">
      <c r="A679" s="29"/>
      <c r="B679" s="24"/>
      <c r="C679" s="17"/>
      <c r="D679" s="17"/>
      <c r="E679" s="17"/>
      <c r="F679" s="17"/>
      <c r="G679" s="17"/>
      <c r="H679" s="17"/>
      <c r="I679" s="17"/>
      <c r="J679" s="17"/>
      <c r="K679" s="17"/>
    </row>
    <row r="680">
      <c r="A680" s="29"/>
      <c r="B680" s="24"/>
      <c r="C680" s="17"/>
      <c r="D680" s="17"/>
      <c r="E680" s="17"/>
      <c r="F680" s="17"/>
      <c r="G680" s="17"/>
      <c r="H680" s="17"/>
      <c r="I680" s="17"/>
      <c r="J680" s="17"/>
      <c r="K680" s="17"/>
    </row>
    <row r="681">
      <c r="A681" s="29"/>
      <c r="B681" s="24"/>
      <c r="C681" s="17"/>
      <c r="D681" s="17"/>
      <c r="E681" s="17"/>
      <c r="F681" s="17"/>
      <c r="G681" s="17"/>
      <c r="H681" s="17"/>
      <c r="I681" s="17"/>
      <c r="J681" s="17"/>
      <c r="K681" s="17"/>
    </row>
    <row r="682">
      <c r="A682" s="29"/>
      <c r="B682" s="24"/>
      <c r="C682" s="17"/>
      <c r="D682" s="17"/>
      <c r="E682" s="17"/>
      <c r="F682" s="17"/>
      <c r="G682" s="17"/>
      <c r="H682" s="17"/>
      <c r="I682" s="17"/>
      <c r="J682" s="17"/>
      <c r="K682" s="17"/>
    </row>
    <row r="683">
      <c r="A683" s="29"/>
      <c r="B683" s="24"/>
      <c r="C683" s="17"/>
      <c r="D683" s="17"/>
      <c r="E683" s="17"/>
      <c r="F683" s="17"/>
      <c r="G683" s="17"/>
      <c r="H683" s="17"/>
      <c r="I683" s="17"/>
      <c r="J683" s="17"/>
      <c r="K683" s="17"/>
    </row>
    <row r="684">
      <c r="A684" s="29"/>
      <c r="B684" s="24"/>
      <c r="C684" s="17"/>
      <c r="D684" s="17"/>
      <c r="E684" s="17"/>
      <c r="F684" s="17"/>
      <c r="G684" s="17"/>
      <c r="H684" s="17"/>
      <c r="I684" s="17"/>
      <c r="J684" s="17"/>
      <c r="K684" s="17"/>
    </row>
    <row r="685">
      <c r="A685" s="29"/>
      <c r="B685" s="24"/>
      <c r="C685" s="17"/>
      <c r="D685" s="17"/>
      <c r="E685" s="17"/>
      <c r="F685" s="17"/>
      <c r="G685" s="17"/>
      <c r="H685" s="17"/>
      <c r="I685" s="17"/>
      <c r="J685" s="17"/>
      <c r="K685" s="17"/>
    </row>
    <row r="686">
      <c r="A686" s="29"/>
      <c r="B686" s="24"/>
      <c r="C686" s="17"/>
      <c r="D686" s="17"/>
      <c r="E686" s="17"/>
      <c r="F686" s="17"/>
      <c r="G686" s="17"/>
      <c r="H686" s="17"/>
      <c r="I686" s="17"/>
      <c r="J686" s="17"/>
      <c r="K686" s="17"/>
    </row>
    <row r="687">
      <c r="A687" s="29"/>
      <c r="B687" s="24"/>
      <c r="C687" s="17"/>
      <c r="D687" s="17"/>
      <c r="E687" s="17"/>
      <c r="F687" s="17"/>
      <c r="G687" s="17"/>
      <c r="H687" s="17"/>
      <c r="I687" s="17"/>
      <c r="J687" s="17"/>
      <c r="K687" s="17"/>
    </row>
    <row r="688">
      <c r="A688" s="29"/>
      <c r="B688" s="24"/>
      <c r="C688" s="17"/>
      <c r="D688" s="17"/>
      <c r="E688" s="17"/>
      <c r="F688" s="17"/>
      <c r="G688" s="17"/>
      <c r="H688" s="17"/>
      <c r="I688" s="17"/>
      <c r="J688" s="17"/>
      <c r="K688" s="17"/>
    </row>
    <row r="689">
      <c r="A689" s="29"/>
      <c r="B689" s="24"/>
      <c r="C689" s="17"/>
      <c r="D689" s="17"/>
      <c r="E689" s="17"/>
      <c r="F689" s="17"/>
      <c r="G689" s="17"/>
      <c r="H689" s="17"/>
      <c r="I689" s="17"/>
      <c r="J689" s="17"/>
      <c r="K689" s="17"/>
    </row>
    <row r="690">
      <c r="A690" s="29"/>
      <c r="B690" s="24"/>
      <c r="C690" s="17"/>
      <c r="D690" s="17"/>
      <c r="E690" s="17"/>
      <c r="F690" s="17"/>
      <c r="G690" s="17"/>
      <c r="H690" s="17"/>
      <c r="I690" s="17"/>
      <c r="J690" s="17"/>
      <c r="K690" s="17"/>
    </row>
    <row r="691">
      <c r="A691" s="29"/>
      <c r="B691" s="24"/>
      <c r="C691" s="17"/>
      <c r="D691" s="17"/>
      <c r="E691" s="17"/>
      <c r="F691" s="17"/>
      <c r="G691" s="17"/>
      <c r="H691" s="17"/>
      <c r="I691" s="17"/>
      <c r="J691" s="17"/>
      <c r="K691" s="17"/>
    </row>
    <row r="692">
      <c r="A692" s="29"/>
      <c r="B692" s="24"/>
      <c r="C692" s="17"/>
      <c r="D692" s="17"/>
      <c r="E692" s="17"/>
      <c r="F692" s="17"/>
      <c r="G692" s="17"/>
      <c r="H692" s="17"/>
      <c r="I692" s="17"/>
      <c r="J692" s="17"/>
      <c r="K692" s="17"/>
    </row>
    <row r="693">
      <c r="A693" s="29"/>
      <c r="B693" s="24"/>
      <c r="C693" s="17"/>
      <c r="D693" s="17"/>
      <c r="E693" s="17"/>
      <c r="F693" s="17"/>
      <c r="G693" s="17"/>
      <c r="H693" s="17"/>
      <c r="I693" s="17"/>
      <c r="J693" s="17"/>
      <c r="K693" s="17"/>
    </row>
    <row r="694">
      <c r="A694" s="29"/>
      <c r="B694" s="24"/>
      <c r="C694" s="17"/>
      <c r="D694" s="17"/>
      <c r="E694" s="17"/>
      <c r="F694" s="17"/>
      <c r="G694" s="17"/>
      <c r="H694" s="17"/>
      <c r="I694" s="17"/>
      <c r="J694" s="17"/>
      <c r="K694" s="17"/>
    </row>
    <row r="695">
      <c r="A695" s="29"/>
      <c r="B695" s="24"/>
      <c r="C695" s="17"/>
      <c r="D695" s="17"/>
      <c r="E695" s="17"/>
      <c r="F695" s="17"/>
      <c r="G695" s="17"/>
      <c r="H695" s="17"/>
      <c r="I695" s="17"/>
      <c r="J695" s="17"/>
      <c r="K695" s="17"/>
    </row>
    <row r="696">
      <c r="A696" s="29"/>
      <c r="B696" s="24"/>
      <c r="C696" s="17"/>
      <c r="D696" s="17"/>
      <c r="E696" s="17"/>
      <c r="F696" s="17"/>
      <c r="G696" s="17"/>
      <c r="H696" s="17"/>
      <c r="I696" s="17"/>
      <c r="J696" s="17"/>
      <c r="K696" s="17"/>
    </row>
    <row r="697">
      <c r="A697" s="29"/>
      <c r="B697" s="24"/>
      <c r="C697" s="17"/>
      <c r="D697" s="17"/>
      <c r="E697" s="17"/>
      <c r="F697" s="17"/>
      <c r="G697" s="17"/>
      <c r="H697" s="17"/>
      <c r="I697" s="17"/>
      <c r="J697" s="17"/>
      <c r="K697" s="17"/>
    </row>
    <row r="698">
      <c r="A698" s="29"/>
      <c r="B698" s="24"/>
      <c r="C698" s="17"/>
      <c r="D698" s="17"/>
      <c r="E698" s="17"/>
      <c r="F698" s="17"/>
      <c r="G698" s="17"/>
      <c r="H698" s="17"/>
      <c r="I698" s="17"/>
      <c r="J698" s="17"/>
      <c r="K698" s="17"/>
    </row>
    <row r="699">
      <c r="A699" s="29"/>
      <c r="B699" s="24"/>
      <c r="C699" s="17"/>
      <c r="D699" s="17"/>
      <c r="E699" s="17"/>
      <c r="F699" s="17"/>
      <c r="G699" s="17"/>
      <c r="H699" s="17"/>
      <c r="I699" s="17"/>
      <c r="J699" s="17"/>
      <c r="K699" s="17"/>
    </row>
    <row r="700">
      <c r="A700" s="29"/>
      <c r="B700" s="24"/>
      <c r="C700" s="17"/>
      <c r="D700" s="17"/>
      <c r="E700" s="17"/>
      <c r="F700" s="17"/>
      <c r="G700" s="17"/>
      <c r="H700" s="17"/>
      <c r="I700" s="17"/>
      <c r="J700" s="17"/>
      <c r="K700" s="17"/>
    </row>
    <row r="701">
      <c r="A701" s="29"/>
      <c r="B701" s="24"/>
      <c r="C701" s="17"/>
      <c r="D701" s="17"/>
      <c r="E701" s="17"/>
      <c r="F701" s="17"/>
      <c r="G701" s="17"/>
      <c r="H701" s="17"/>
      <c r="I701" s="17"/>
      <c r="J701" s="17"/>
      <c r="K701" s="17"/>
    </row>
    <row r="702">
      <c r="A702" s="29"/>
      <c r="B702" s="24"/>
      <c r="C702" s="17"/>
      <c r="D702" s="17"/>
      <c r="E702" s="17"/>
      <c r="F702" s="17"/>
      <c r="G702" s="17"/>
      <c r="H702" s="17"/>
      <c r="I702" s="17"/>
      <c r="J702" s="17"/>
      <c r="K702" s="17"/>
    </row>
    <row r="703">
      <c r="A703" s="29"/>
      <c r="B703" s="24"/>
      <c r="C703" s="17"/>
      <c r="D703" s="17"/>
      <c r="E703" s="17"/>
      <c r="F703" s="17"/>
      <c r="G703" s="17"/>
      <c r="H703" s="17"/>
      <c r="I703" s="17"/>
      <c r="J703" s="17"/>
      <c r="K703" s="17"/>
    </row>
    <row r="704">
      <c r="A704" s="29"/>
      <c r="B704" s="24"/>
      <c r="C704" s="17"/>
      <c r="D704" s="17"/>
      <c r="E704" s="17"/>
      <c r="F704" s="17"/>
      <c r="G704" s="17"/>
      <c r="H704" s="17"/>
      <c r="I704" s="17"/>
      <c r="J704" s="17"/>
      <c r="K704" s="17"/>
    </row>
    <row r="705">
      <c r="A705" s="29"/>
      <c r="B705" s="24"/>
      <c r="C705" s="17"/>
      <c r="D705" s="17"/>
      <c r="E705" s="17"/>
      <c r="F705" s="17"/>
      <c r="G705" s="17"/>
      <c r="H705" s="17"/>
      <c r="I705" s="17"/>
      <c r="J705" s="17"/>
      <c r="K705" s="17"/>
    </row>
    <row r="706">
      <c r="A706" s="29"/>
      <c r="B706" s="24"/>
      <c r="C706" s="17"/>
      <c r="D706" s="17"/>
      <c r="E706" s="17"/>
      <c r="F706" s="17"/>
      <c r="G706" s="17"/>
      <c r="H706" s="17"/>
      <c r="I706" s="17"/>
      <c r="J706" s="17"/>
      <c r="K706" s="17"/>
    </row>
    <row r="707">
      <c r="A707" s="29"/>
      <c r="B707" s="24"/>
      <c r="C707" s="17"/>
      <c r="D707" s="17"/>
      <c r="E707" s="17"/>
      <c r="F707" s="17"/>
      <c r="G707" s="17"/>
      <c r="H707" s="17"/>
      <c r="I707" s="17"/>
      <c r="J707" s="17"/>
      <c r="K707" s="17"/>
    </row>
    <row r="708">
      <c r="A708" s="29"/>
      <c r="B708" s="24"/>
      <c r="C708" s="17"/>
      <c r="D708" s="17"/>
      <c r="E708" s="17"/>
      <c r="F708" s="17"/>
      <c r="G708" s="17"/>
      <c r="H708" s="17"/>
      <c r="I708" s="17"/>
      <c r="J708" s="17"/>
      <c r="K708" s="17"/>
    </row>
    <row r="709">
      <c r="A709" s="29"/>
      <c r="B709" s="24"/>
      <c r="C709" s="17"/>
      <c r="D709" s="17"/>
      <c r="E709" s="17"/>
      <c r="F709" s="17"/>
      <c r="G709" s="17"/>
      <c r="H709" s="17"/>
      <c r="I709" s="17"/>
      <c r="J709" s="17"/>
      <c r="K709" s="17"/>
    </row>
    <row r="710">
      <c r="A710" s="29"/>
      <c r="B710" s="24"/>
      <c r="C710" s="17"/>
      <c r="D710" s="17"/>
      <c r="E710" s="17"/>
      <c r="F710" s="17"/>
      <c r="G710" s="17"/>
      <c r="H710" s="17"/>
      <c r="I710" s="17"/>
      <c r="J710" s="17"/>
      <c r="K710" s="17"/>
    </row>
    <row r="711">
      <c r="A711" s="29"/>
      <c r="B711" s="24"/>
      <c r="C711" s="17"/>
      <c r="D711" s="17"/>
      <c r="E711" s="17"/>
      <c r="F711" s="17"/>
      <c r="G711" s="17"/>
      <c r="H711" s="17"/>
      <c r="I711" s="17"/>
      <c r="J711" s="17"/>
      <c r="K711" s="17"/>
    </row>
    <row r="712">
      <c r="A712" s="29"/>
      <c r="B712" s="24"/>
      <c r="C712" s="17"/>
      <c r="D712" s="17"/>
      <c r="E712" s="17"/>
      <c r="F712" s="17"/>
      <c r="G712" s="17"/>
      <c r="H712" s="17"/>
      <c r="I712" s="17"/>
      <c r="J712" s="17"/>
      <c r="K712" s="17"/>
    </row>
    <row r="713">
      <c r="A713" s="29"/>
      <c r="B713" s="24"/>
      <c r="C713" s="17"/>
      <c r="D713" s="17"/>
      <c r="E713" s="17"/>
      <c r="F713" s="17"/>
      <c r="G713" s="17"/>
      <c r="H713" s="17"/>
      <c r="I713" s="17"/>
      <c r="J713" s="17"/>
      <c r="K713" s="17"/>
    </row>
    <row r="714">
      <c r="A714" s="29"/>
      <c r="B714" s="24"/>
      <c r="C714" s="17"/>
      <c r="D714" s="17"/>
      <c r="E714" s="17"/>
      <c r="F714" s="17"/>
      <c r="G714" s="17"/>
      <c r="H714" s="17"/>
      <c r="I714" s="17"/>
      <c r="J714" s="17"/>
      <c r="K714" s="17"/>
    </row>
    <row r="715">
      <c r="A715" s="29"/>
      <c r="B715" s="24"/>
      <c r="C715" s="17"/>
      <c r="D715" s="17"/>
      <c r="E715" s="17"/>
      <c r="F715" s="17"/>
      <c r="G715" s="17"/>
      <c r="H715" s="17"/>
      <c r="I715" s="17"/>
      <c r="J715" s="17"/>
      <c r="K715" s="17"/>
    </row>
    <row r="716">
      <c r="A716" s="29"/>
      <c r="B716" s="24"/>
      <c r="C716" s="17"/>
      <c r="D716" s="17"/>
      <c r="E716" s="17"/>
      <c r="F716" s="17"/>
      <c r="G716" s="17"/>
      <c r="H716" s="17"/>
      <c r="I716" s="17"/>
      <c r="J716" s="17"/>
      <c r="K716" s="17"/>
    </row>
    <row r="717">
      <c r="A717" s="29"/>
      <c r="B717" s="24"/>
      <c r="C717" s="17"/>
      <c r="D717" s="17"/>
      <c r="E717" s="17"/>
      <c r="F717" s="17"/>
      <c r="G717" s="17"/>
      <c r="H717" s="17"/>
      <c r="I717" s="17"/>
      <c r="J717" s="17"/>
      <c r="K717" s="17"/>
    </row>
    <row r="718">
      <c r="A718" s="29"/>
      <c r="B718" s="24"/>
      <c r="C718" s="17"/>
      <c r="D718" s="17"/>
      <c r="E718" s="17"/>
      <c r="F718" s="17"/>
      <c r="G718" s="17"/>
      <c r="H718" s="17"/>
      <c r="I718" s="17"/>
      <c r="J718" s="17"/>
      <c r="K718" s="17"/>
    </row>
    <row r="719">
      <c r="A719" s="29"/>
      <c r="B719" s="24"/>
      <c r="C719" s="17"/>
      <c r="D719" s="17"/>
      <c r="E719" s="17"/>
      <c r="F719" s="17"/>
      <c r="G719" s="17"/>
      <c r="H719" s="17"/>
      <c r="I719" s="17"/>
      <c r="J719" s="17"/>
      <c r="K719" s="17"/>
    </row>
    <row r="720">
      <c r="A720" s="29"/>
      <c r="B720" s="24"/>
      <c r="C720" s="17"/>
      <c r="D720" s="17"/>
      <c r="E720" s="17"/>
      <c r="F720" s="17"/>
      <c r="G720" s="17"/>
      <c r="H720" s="17"/>
      <c r="I720" s="17"/>
      <c r="J720" s="17"/>
      <c r="K720" s="17"/>
    </row>
    <row r="721">
      <c r="A721" s="29"/>
      <c r="B721" s="24"/>
      <c r="C721" s="17"/>
      <c r="D721" s="17"/>
      <c r="E721" s="17"/>
      <c r="F721" s="17"/>
      <c r="G721" s="17"/>
      <c r="H721" s="17"/>
      <c r="I721" s="17"/>
      <c r="J721" s="17"/>
      <c r="K721" s="17"/>
    </row>
    <row r="722">
      <c r="A722" s="29"/>
      <c r="B722" s="24"/>
      <c r="C722" s="17"/>
      <c r="D722" s="17"/>
      <c r="E722" s="17"/>
      <c r="F722" s="17"/>
      <c r="G722" s="17"/>
      <c r="H722" s="17"/>
      <c r="I722" s="17"/>
      <c r="J722" s="17"/>
      <c r="K722" s="17"/>
    </row>
    <row r="723">
      <c r="A723" s="29"/>
      <c r="B723" s="24"/>
      <c r="C723" s="17"/>
      <c r="D723" s="17"/>
      <c r="E723" s="17"/>
      <c r="F723" s="17"/>
      <c r="G723" s="17"/>
      <c r="H723" s="17"/>
      <c r="I723" s="17"/>
      <c r="J723" s="17"/>
      <c r="K723" s="17"/>
    </row>
    <row r="724">
      <c r="A724" s="29"/>
      <c r="B724" s="24"/>
      <c r="C724" s="17"/>
      <c r="D724" s="17"/>
      <c r="E724" s="17"/>
      <c r="F724" s="17"/>
      <c r="G724" s="17"/>
      <c r="H724" s="17"/>
      <c r="I724" s="17"/>
      <c r="J724" s="17"/>
      <c r="K724" s="17"/>
    </row>
    <row r="725">
      <c r="A725" s="29"/>
      <c r="B725" s="24"/>
      <c r="C725" s="17"/>
      <c r="D725" s="17"/>
      <c r="E725" s="17"/>
      <c r="F725" s="17"/>
      <c r="G725" s="17"/>
      <c r="H725" s="17"/>
      <c r="I725" s="17"/>
      <c r="J725" s="17"/>
      <c r="K725" s="17"/>
    </row>
    <row r="726">
      <c r="A726" s="29"/>
      <c r="B726" s="24"/>
      <c r="C726" s="17"/>
      <c r="D726" s="17"/>
      <c r="E726" s="17"/>
      <c r="F726" s="17"/>
      <c r="G726" s="17"/>
      <c r="H726" s="17"/>
      <c r="I726" s="17"/>
      <c r="J726" s="17"/>
      <c r="K726" s="17"/>
    </row>
    <row r="727">
      <c r="A727" s="29"/>
      <c r="B727" s="24"/>
      <c r="C727" s="17"/>
      <c r="D727" s="17"/>
      <c r="E727" s="17"/>
      <c r="F727" s="17"/>
      <c r="G727" s="17"/>
      <c r="H727" s="17"/>
      <c r="I727" s="17"/>
      <c r="J727" s="17"/>
      <c r="K727" s="17"/>
    </row>
    <row r="728">
      <c r="A728" s="29"/>
      <c r="B728" s="24"/>
      <c r="C728" s="17"/>
      <c r="D728" s="17"/>
      <c r="E728" s="17"/>
      <c r="F728" s="17"/>
      <c r="G728" s="17"/>
      <c r="H728" s="17"/>
      <c r="I728" s="17"/>
      <c r="J728" s="17"/>
      <c r="K728" s="17"/>
    </row>
    <row r="729">
      <c r="A729" s="29"/>
      <c r="B729" s="24"/>
      <c r="C729" s="17"/>
      <c r="D729" s="17"/>
      <c r="E729" s="17"/>
      <c r="F729" s="17"/>
      <c r="G729" s="17"/>
      <c r="H729" s="17"/>
      <c r="I729" s="17"/>
      <c r="J729" s="17"/>
      <c r="K729" s="17"/>
    </row>
    <row r="730">
      <c r="A730" s="29"/>
      <c r="B730" s="24"/>
      <c r="C730" s="17"/>
      <c r="D730" s="17"/>
      <c r="E730" s="17"/>
      <c r="F730" s="17"/>
      <c r="G730" s="17"/>
      <c r="H730" s="17"/>
      <c r="I730" s="17"/>
      <c r="J730" s="17"/>
      <c r="K730" s="17"/>
    </row>
    <row r="731">
      <c r="A731" s="29"/>
      <c r="B731" s="24"/>
      <c r="C731" s="17"/>
      <c r="D731" s="17"/>
      <c r="E731" s="17"/>
      <c r="F731" s="17"/>
      <c r="G731" s="17"/>
      <c r="H731" s="17"/>
      <c r="I731" s="17"/>
      <c r="J731" s="17"/>
      <c r="K731" s="17"/>
    </row>
    <row r="732">
      <c r="A732" s="29"/>
      <c r="B732" s="24"/>
      <c r="C732" s="17"/>
      <c r="D732" s="17"/>
      <c r="E732" s="17"/>
      <c r="F732" s="17"/>
      <c r="G732" s="17"/>
      <c r="H732" s="17"/>
      <c r="I732" s="17"/>
      <c r="J732" s="17"/>
      <c r="K732" s="17"/>
    </row>
    <row r="733">
      <c r="A733" s="29"/>
      <c r="B733" s="24"/>
      <c r="C733" s="17"/>
      <c r="D733" s="17"/>
      <c r="E733" s="17"/>
      <c r="F733" s="17"/>
      <c r="G733" s="17"/>
      <c r="H733" s="17"/>
      <c r="I733" s="17"/>
      <c r="J733" s="17"/>
      <c r="K733" s="17"/>
    </row>
    <row r="734">
      <c r="A734" s="29"/>
      <c r="B734" s="24"/>
      <c r="C734" s="17"/>
      <c r="D734" s="17"/>
      <c r="E734" s="17"/>
      <c r="F734" s="17"/>
      <c r="G734" s="17"/>
      <c r="H734" s="17"/>
      <c r="I734" s="17"/>
      <c r="J734" s="17"/>
      <c r="K734" s="17"/>
    </row>
    <row r="735">
      <c r="A735" s="29"/>
      <c r="B735" s="24"/>
      <c r="C735" s="17"/>
      <c r="D735" s="17"/>
      <c r="E735" s="17"/>
      <c r="F735" s="17"/>
      <c r="G735" s="17"/>
      <c r="H735" s="17"/>
      <c r="I735" s="17"/>
      <c r="J735" s="17"/>
      <c r="K735" s="17"/>
    </row>
    <row r="736">
      <c r="A736" s="29"/>
      <c r="B736" s="24"/>
      <c r="C736" s="17"/>
      <c r="D736" s="17"/>
      <c r="E736" s="17"/>
      <c r="F736" s="17"/>
      <c r="G736" s="17"/>
      <c r="H736" s="17"/>
      <c r="I736" s="17"/>
      <c r="J736" s="17"/>
      <c r="K736" s="17"/>
    </row>
    <row r="737">
      <c r="A737" s="29"/>
      <c r="B737" s="24"/>
      <c r="C737" s="17"/>
      <c r="D737" s="17"/>
      <c r="E737" s="17"/>
      <c r="F737" s="17"/>
      <c r="G737" s="17"/>
      <c r="H737" s="17"/>
      <c r="I737" s="17"/>
      <c r="J737" s="17"/>
      <c r="K737" s="17"/>
    </row>
    <row r="738">
      <c r="A738" s="29"/>
      <c r="B738" s="24"/>
      <c r="C738" s="17"/>
      <c r="D738" s="17"/>
      <c r="E738" s="17"/>
      <c r="F738" s="17"/>
      <c r="G738" s="17"/>
      <c r="H738" s="17"/>
      <c r="I738" s="17"/>
      <c r="J738" s="17"/>
      <c r="K738" s="17"/>
    </row>
    <row r="739">
      <c r="A739" s="29"/>
      <c r="B739" s="24"/>
      <c r="C739" s="17"/>
      <c r="D739" s="17"/>
      <c r="E739" s="17"/>
      <c r="F739" s="17"/>
      <c r="G739" s="17"/>
      <c r="H739" s="17"/>
      <c r="I739" s="17"/>
      <c r="J739" s="17"/>
      <c r="K739" s="17"/>
    </row>
    <row r="740">
      <c r="A740" s="29"/>
      <c r="B740" s="24"/>
      <c r="C740" s="17"/>
      <c r="D740" s="17"/>
      <c r="E740" s="17"/>
      <c r="F740" s="17"/>
      <c r="G740" s="17"/>
      <c r="H740" s="17"/>
      <c r="I740" s="17"/>
      <c r="J740" s="17"/>
      <c r="K740" s="17"/>
    </row>
    <row r="741">
      <c r="A741" s="29"/>
      <c r="B741" s="24"/>
      <c r="C741" s="17"/>
      <c r="D741" s="17"/>
      <c r="E741" s="17"/>
      <c r="F741" s="17"/>
      <c r="G741" s="17"/>
      <c r="H741" s="17"/>
      <c r="I741" s="17"/>
      <c r="J741" s="17"/>
      <c r="K741" s="17"/>
    </row>
    <row r="742">
      <c r="A742" s="29"/>
      <c r="B742" s="24"/>
      <c r="C742" s="17"/>
      <c r="D742" s="17"/>
      <c r="E742" s="17"/>
      <c r="F742" s="17"/>
      <c r="G742" s="17"/>
      <c r="H742" s="17"/>
      <c r="I742" s="17"/>
      <c r="J742" s="17"/>
      <c r="K742" s="17"/>
    </row>
    <row r="743">
      <c r="A743" s="29"/>
      <c r="B743" s="24"/>
      <c r="C743" s="17"/>
      <c r="D743" s="17"/>
      <c r="E743" s="17"/>
      <c r="F743" s="17"/>
      <c r="G743" s="17"/>
      <c r="H743" s="17"/>
      <c r="I743" s="17"/>
      <c r="J743" s="17"/>
      <c r="K743" s="17"/>
    </row>
    <row r="744">
      <c r="A744" s="29"/>
      <c r="B744" s="24"/>
      <c r="C744" s="17"/>
      <c r="D744" s="17"/>
      <c r="E744" s="17"/>
      <c r="F744" s="17"/>
      <c r="G744" s="17"/>
      <c r="H744" s="17"/>
      <c r="I744" s="17"/>
      <c r="J744" s="17"/>
      <c r="K744" s="17"/>
    </row>
    <row r="745">
      <c r="A745" s="29"/>
      <c r="B745" s="24"/>
      <c r="C745" s="17"/>
      <c r="D745" s="17"/>
      <c r="E745" s="17"/>
      <c r="F745" s="17"/>
      <c r="G745" s="17"/>
      <c r="H745" s="17"/>
      <c r="I745" s="17"/>
      <c r="J745" s="17"/>
      <c r="K745" s="17"/>
    </row>
    <row r="746">
      <c r="A746" s="29"/>
      <c r="B746" s="24"/>
      <c r="C746" s="17"/>
      <c r="D746" s="17"/>
      <c r="E746" s="17"/>
      <c r="F746" s="17"/>
      <c r="G746" s="17"/>
      <c r="H746" s="17"/>
      <c r="I746" s="17"/>
      <c r="J746" s="17"/>
      <c r="K746" s="17"/>
    </row>
    <row r="747">
      <c r="A747" s="29"/>
      <c r="B747" s="24"/>
      <c r="C747" s="17"/>
      <c r="D747" s="17"/>
      <c r="E747" s="17"/>
      <c r="F747" s="17"/>
      <c r="G747" s="17"/>
      <c r="H747" s="17"/>
      <c r="I747" s="17"/>
      <c r="J747" s="17"/>
      <c r="K747" s="17"/>
    </row>
    <row r="748">
      <c r="A748" s="29"/>
      <c r="B748" s="24"/>
      <c r="C748" s="17"/>
      <c r="D748" s="17"/>
      <c r="E748" s="17"/>
      <c r="F748" s="17"/>
      <c r="G748" s="17"/>
      <c r="H748" s="17"/>
      <c r="I748" s="17"/>
      <c r="J748" s="17"/>
      <c r="K748" s="17"/>
    </row>
    <row r="749">
      <c r="A749" s="29"/>
      <c r="B749" s="24"/>
      <c r="C749" s="17"/>
      <c r="D749" s="17"/>
      <c r="E749" s="17"/>
      <c r="F749" s="17"/>
      <c r="G749" s="17"/>
      <c r="H749" s="17"/>
      <c r="I749" s="17"/>
      <c r="J749" s="17"/>
      <c r="K749" s="17"/>
    </row>
    <row r="750">
      <c r="A750" s="29"/>
      <c r="B750" s="24"/>
      <c r="C750" s="17"/>
      <c r="D750" s="17"/>
      <c r="E750" s="17"/>
      <c r="F750" s="17"/>
      <c r="G750" s="17"/>
      <c r="H750" s="17"/>
      <c r="I750" s="17"/>
      <c r="J750" s="17"/>
      <c r="K750" s="17"/>
    </row>
    <row r="751">
      <c r="A751" s="29"/>
      <c r="B751" s="24"/>
      <c r="C751" s="17"/>
      <c r="D751" s="17"/>
      <c r="E751" s="17"/>
      <c r="F751" s="17"/>
      <c r="G751" s="17"/>
      <c r="H751" s="17"/>
      <c r="I751" s="17"/>
      <c r="J751" s="17"/>
      <c r="K751" s="17"/>
    </row>
    <row r="752">
      <c r="A752" s="29"/>
      <c r="B752" s="24"/>
      <c r="C752" s="17"/>
      <c r="D752" s="17"/>
      <c r="E752" s="17"/>
      <c r="F752" s="17"/>
      <c r="G752" s="17"/>
      <c r="H752" s="17"/>
      <c r="I752" s="17"/>
      <c r="J752" s="17"/>
      <c r="K752" s="17"/>
    </row>
    <row r="753">
      <c r="A753" s="29"/>
      <c r="B753" s="24"/>
      <c r="C753" s="17"/>
      <c r="D753" s="17"/>
      <c r="E753" s="17"/>
      <c r="F753" s="17"/>
      <c r="G753" s="17"/>
      <c r="H753" s="17"/>
      <c r="I753" s="17"/>
      <c r="J753" s="17"/>
      <c r="K753" s="17"/>
    </row>
    <row r="754">
      <c r="A754" s="29"/>
      <c r="B754" s="24"/>
      <c r="C754" s="17"/>
      <c r="D754" s="17"/>
      <c r="E754" s="17"/>
      <c r="F754" s="17"/>
      <c r="G754" s="17"/>
      <c r="H754" s="17"/>
      <c r="I754" s="17"/>
      <c r="J754" s="17"/>
      <c r="K754" s="17"/>
    </row>
    <row r="755">
      <c r="A755" s="29"/>
      <c r="B755" s="24"/>
      <c r="C755" s="17"/>
      <c r="D755" s="17"/>
      <c r="E755" s="17"/>
      <c r="F755" s="17"/>
      <c r="G755" s="17"/>
      <c r="H755" s="17"/>
      <c r="I755" s="17"/>
      <c r="J755" s="17"/>
      <c r="K755" s="17"/>
    </row>
    <row r="756">
      <c r="A756" s="29"/>
      <c r="B756" s="24"/>
      <c r="C756" s="17"/>
      <c r="D756" s="17"/>
      <c r="E756" s="17"/>
      <c r="F756" s="17"/>
      <c r="G756" s="17"/>
      <c r="H756" s="17"/>
      <c r="I756" s="17"/>
      <c r="J756" s="17"/>
      <c r="K756" s="17"/>
    </row>
    <row r="757">
      <c r="A757" s="29"/>
      <c r="B757" s="24"/>
      <c r="C757" s="17"/>
      <c r="D757" s="17"/>
      <c r="E757" s="17"/>
      <c r="F757" s="17"/>
      <c r="G757" s="17"/>
      <c r="H757" s="17"/>
      <c r="I757" s="17"/>
      <c r="J757" s="17"/>
      <c r="K757" s="17"/>
    </row>
    <row r="758">
      <c r="A758" s="29"/>
      <c r="B758" s="24"/>
      <c r="C758" s="17"/>
      <c r="D758" s="17"/>
      <c r="E758" s="17"/>
      <c r="F758" s="17"/>
      <c r="G758" s="17"/>
      <c r="H758" s="17"/>
      <c r="I758" s="17"/>
      <c r="J758" s="17"/>
      <c r="K758" s="17"/>
    </row>
    <row r="759">
      <c r="A759" s="29"/>
      <c r="B759" s="24"/>
      <c r="C759" s="17"/>
      <c r="D759" s="17"/>
      <c r="E759" s="17"/>
      <c r="F759" s="17"/>
      <c r="G759" s="17"/>
      <c r="H759" s="17"/>
      <c r="I759" s="17"/>
      <c r="J759" s="17"/>
      <c r="K759" s="17"/>
    </row>
    <row r="760">
      <c r="A760" s="29"/>
      <c r="B760" s="24"/>
      <c r="C760" s="17"/>
      <c r="D760" s="17"/>
      <c r="E760" s="17"/>
      <c r="F760" s="17"/>
      <c r="G760" s="17"/>
      <c r="H760" s="17"/>
      <c r="I760" s="17"/>
      <c r="J760" s="17"/>
      <c r="K760" s="17"/>
    </row>
    <row r="761">
      <c r="A761" s="29"/>
      <c r="B761" s="24"/>
      <c r="C761" s="17"/>
      <c r="D761" s="17"/>
      <c r="E761" s="17"/>
      <c r="F761" s="17"/>
      <c r="G761" s="17"/>
      <c r="H761" s="17"/>
      <c r="I761" s="17"/>
      <c r="J761" s="17"/>
      <c r="K761" s="17"/>
    </row>
    <row r="762">
      <c r="A762" s="29"/>
      <c r="B762" s="24"/>
      <c r="C762" s="17"/>
      <c r="D762" s="17"/>
      <c r="E762" s="17"/>
      <c r="F762" s="17"/>
      <c r="G762" s="17"/>
      <c r="H762" s="17"/>
      <c r="I762" s="17"/>
      <c r="J762" s="17"/>
      <c r="K762" s="17"/>
    </row>
    <row r="763">
      <c r="A763" s="29"/>
      <c r="B763" s="24"/>
      <c r="C763" s="17"/>
      <c r="D763" s="17"/>
      <c r="E763" s="17"/>
      <c r="F763" s="17"/>
      <c r="G763" s="17"/>
      <c r="H763" s="17"/>
      <c r="I763" s="17"/>
      <c r="J763" s="17"/>
      <c r="K763" s="17"/>
    </row>
    <row r="764">
      <c r="A764" s="29"/>
      <c r="B764" s="24"/>
      <c r="C764" s="17"/>
      <c r="D764" s="17"/>
      <c r="E764" s="17"/>
      <c r="F764" s="17"/>
      <c r="G764" s="17"/>
      <c r="H764" s="17"/>
      <c r="I764" s="17"/>
      <c r="J764" s="17"/>
      <c r="K764" s="17"/>
    </row>
    <row r="765">
      <c r="A765" s="29"/>
      <c r="B765" s="24"/>
      <c r="C765" s="17"/>
      <c r="D765" s="17"/>
      <c r="E765" s="17"/>
      <c r="F765" s="17"/>
      <c r="G765" s="17"/>
      <c r="H765" s="17"/>
      <c r="I765" s="17"/>
      <c r="J765" s="17"/>
      <c r="K765" s="17"/>
    </row>
    <row r="766">
      <c r="A766" s="29"/>
      <c r="B766" s="24"/>
      <c r="C766" s="17"/>
      <c r="D766" s="17"/>
      <c r="E766" s="17"/>
      <c r="F766" s="17"/>
      <c r="G766" s="17"/>
      <c r="H766" s="17"/>
      <c r="I766" s="17"/>
      <c r="J766" s="17"/>
      <c r="K766" s="17"/>
    </row>
    <row r="767">
      <c r="A767" s="29"/>
      <c r="B767" s="24"/>
      <c r="C767" s="17"/>
      <c r="D767" s="17"/>
      <c r="E767" s="17"/>
      <c r="F767" s="17"/>
      <c r="G767" s="17"/>
      <c r="H767" s="17"/>
      <c r="I767" s="17"/>
      <c r="J767" s="17"/>
      <c r="K767" s="17"/>
    </row>
    <row r="768">
      <c r="A768" s="29"/>
      <c r="B768" s="24"/>
      <c r="C768" s="17"/>
      <c r="D768" s="17"/>
      <c r="E768" s="17"/>
      <c r="F768" s="17"/>
      <c r="G768" s="17"/>
      <c r="H768" s="17"/>
      <c r="I768" s="17"/>
      <c r="J768" s="17"/>
      <c r="K768" s="17"/>
    </row>
    <row r="769">
      <c r="A769" s="29"/>
      <c r="B769" s="24"/>
      <c r="C769" s="17"/>
      <c r="D769" s="17"/>
      <c r="E769" s="17"/>
      <c r="F769" s="17"/>
      <c r="G769" s="17"/>
      <c r="H769" s="17"/>
      <c r="I769" s="17"/>
      <c r="J769" s="17"/>
      <c r="K769" s="17"/>
    </row>
    <row r="770">
      <c r="A770" s="29"/>
      <c r="B770" s="24"/>
      <c r="C770" s="17"/>
      <c r="D770" s="17"/>
      <c r="E770" s="17"/>
      <c r="F770" s="17"/>
      <c r="G770" s="17"/>
      <c r="H770" s="17"/>
      <c r="I770" s="17"/>
      <c r="J770" s="17"/>
      <c r="K770" s="17"/>
    </row>
    <row r="771">
      <c r="A771" s="29"/>
      <c r="B771" s="24"/>
      <c r="C771" s="17"/>
      <c r="D771" s="17"/>
      <c r="E771" s="17"/>
      <c r="F771" s="17"/>
      <c r="G771" s="17"/>
      <c r="H771" s="17"/>
      <c r="I771" s="17"/>
      <c r="J771" s="17"/>
      <c r="K771" s="17"/>
    </row>
    <row r="772">
      <c r="A772" s="29"/>
      <c r="B772" s="24"/>
      <c r="C772" s="17"/>
      <c r="D772" s="17"/>
      <c r="E772" s="17"/>
      <c r="F772" s="17"/>
      <c r="G772" s="17"/>
      <c r="H772" s="17"/>
      <c r="I772" s="17"/>
      <c r="J772" s="17"/>
      <c r="K772" s="17"/>
    </row>
    <row r="773">
      <c r="A773" s="29"/>
      <c r="B773" s="24"/>
      <c r="C773" s="17"/>
      <c r="D773" s="17"/>
      <c r="E773" s="17"/>
      <c r="F773" s="17"/>
      <c r="G773" s="17"/>
      <c r="H773" s="17"/>
      <c r="I773" s="17"/>
      <c r="J773" s="17"/>
      <c r="K773" s="17"/>
    </row>
    <row r="774">
      <c r="A774" s="29"/>
      <c r="B774" s="24"/>
      <c r="C774" s="17"/>
      <c r="D774" s="17"/>
      <c r="E774" s="17"/>
      <c r="F774" s="17"/>
      <c r="G774" s="17"/>
      <c r="H774" s="17"/>
      <c r="I774" s="17"/>
      <c r="J774" s="17"/>
      <c r="K774" s="17"/>
    </row>
    <row r="775">
      <c r="A775" s="29"/>
      <c r="B775" s="24"/>
      <c r="C775" s="17"/>
      <c r="D775" s="17"/>
      <c r="E775" s="17"/>
      <c r="F775" s="17"/>
      <c r="G775" s="17"/>
      <c r="H775" s="17"/>
      <c r="I775" s="17"/>
      <c r="J775" s="17"/>
      <c r="K775" s="17"/>
    </row>
    <row r="776">
      <c r="A776" s="29"/>
      <c r="B776" s="24"/>
      <c r="C776" s="17"/>
      <c r="D776" s="17"/>
      <c r="E776" s="17"/>
      <c r="F776" s="17"/>
      <c r="G776" s="17"/>
      <c r="H776" s="17"/>
      <c r="I776" s="17"/>
      <c r="J776" s="17"/>
      <c r="K776" s="17"/>
    </row>
    <row r="777">
      <c r="A777" s="29"/>
      <c r="B777" s="24"/>
      <c r="C777" s="17"/>
      <c r="D777" s="17"/>
      <c r="E777" s="17"/>
      <c r="F777" s="17"/>
      <c r="G777" s="17"/>
      <c r="H777" s="17"/>
      <c r="I777" s="17"/>
      <c r="J777" s="17"/>
      <c r="K777" s="17"/>
    </row>
    <row r="778">
      <c r="A778" s="29"/>
      <c r="B778" s="24"/>
      <c r="C778" s="17"/>
      <c r="D778" s="17"/>
      <c r="E778" s="17"/>
      <c r="F778" s="17"/>
      <c r="G778" s="17"/>
      <c r="H778" s="17"/>
      <c r="I778" s="17"/>
      <c r="J778" s="17"/>
      <c r="K778" s="17"/>
    </row>
    <row r="779">
      <c r="A779" s="29"/>
      <c r="B779" s="24"/>
      <c r="C779" s="17"/>
      <c r="D779" s="17"/>
      <c r="E779" s="17"/>
      <c r="F779" s="17"/>
      <c r="G779" s="17"/>
      <c r="H779" s="17"/>
      <c r="I779" s="17"/>
      <c r="J779" s="17"/>
      <c r="K779" s="17"/>
    </row>
    <row r="780">
      <c r="A780" s="29"/>
      <c r="B780" s="24"/>
      <c r="C780" s="17"/>
      <c r="D780" s="17"/>
      <c r="E780" s="17"/>
      <c r="F780" s="17"/>
      <c r="G780" s="17"/>
      <c r="H780" s="17"/>
      <c r="I780" s="17"/>
      <c r="J780" s="17"/>
      <c r="K780" s="17"/>
    </row>
    <row r="781">
      <c r="A781" s="29"/>
      <c r="B781" s="24"/>
      <c r="C781" s="17"/>
      <c r="D781" s="17"/>
      <c r="E781" s="17"/>
      <c r="F781" s="17"/>
      <c r="G781" s="17"/>
      <c r="H781" s="17"/>
      <c r="I781" s="17"/>
      <c r="J781" s="17"/>
      <c r="K781" s="17"/>
    </row>
    <row r="782">
      <c r="A782" s="29"/>
      <c r="B782" s="24"/>
      <c r="C782" s="17"/>
      <c r="D782" s="17"/>
      <c r="E782" s="17"/>
      <c r="F782" s="17"/>
      <c r="G782" s="17"/>
      <c r="H782" s="17"/>
      <c r="I782" s="17"/>
      <c r="J782" s="17"/>
      <c r="K782" s="17"/>
    </row>
    <row r="783">
      <c r="A783" s="29"/>
      <c r="B783" s="24"/>
      <c r="C783" s="17"/>
      <c r="D783" s="17"/>
      <c r="E783" s="17"/>
      <c r="F783" s="17"/>
      <c r="G783" s="17"/>
      <c r="H783" s="17"/>
      <c r="I783" s="17"/>
      <c r="J783" s="17"/>
      <c r="K783" s="17"/>
    </row>
    <row r="784">
      <c r="A784" s="29"/>
      <c r="B784" s="24"/>
      <c r="C784" s="17"/>
      <c r="D784" s="17"/>
      <c r="E784" s="17"/>
      <c r="F784" s="17"/>
      <c r="G784" s="17"/>
      <c r="H784" s="17"/>
      <c r="I784" s="17"/>
      <c r="J784" s="17"/>
      <c r="K784" s="17"/>
    </row>
    <row r="785">
      <c r="A785" s="29"/>
      <c r="B785" s="24"/>
      <c r="C785" s="17"/>
      <c r="D785" s="17"/>
      <c r="E785" s="17"/>
      <c r="F785" s="17"/>
      <c r="G785" s="17"/>
      <c r="H785" s="17"/>
      <c r="I785" s="17"/>
      <c r="J785" s="17"/>
      <c r="K785" s="17"/>
    </row>
    <row r="786">
      <c r="A786" s="29"/>
      <c r="B786" s="24"/>
      <c r="C786" s="17"/>
      <c r="D786" s="17"/>
      <c r="E786" s="17"/>
      <c r="F786" s="17"/>
      <c r="G786" s="17"/>
      <c r="H786" s="17"/>
      <c r="I786" s="17"/>
      <c r="J786" s="17"/>
      <c r="K786" s="17"/>
    </row>
    <row r="787">
      <c r="A787" s="29"/>
      <c r="B787" s="24"/>
      <c r="C787" s="17"/>
      <c r="D787" s="17"/>
      <c r="E787" s="17"/>
      <c r="F787" s="17"/>
      <c r="G787" s="17"/>
      <c r="H787" s="17"/>
      <c r="I787" s="17"/>
      <c r="J787" s="17"/>
      <c r="K787" s="17"/>
    </row>
    <row r="788">
      <c r="A788" s="29"/>
      <c r="B788" s="24"/>
      <c r="C788" s="17"/>
      <c r="D788" s="17"/>
      <c r="E788" s="17"/>
      <c r="F788" s="17"/>
      <c r="G788" s="17"/>
      <c r="H788" s="17"/>
      <c r="I788" s="17"/>
      <c r="J788" s="17"/>
      <c r="K788" s="17"/>
    </row>
    <row r="789">
      <c r="A789" s="29"/>
      <c r="B789" s="24"/>
      <c r="C789" s="17"/>
      <c r="D789" s="17"/>
      <c r="E789" s="17"/>
      <c r="F789" s="17"/>
      <c r="G789" s="17"/>
      <c r="H789" s="17"/>
      <c r="I789" s="17"/>
      <c r="J789" s="17"/>
      <c r="K789" s="17"/>
    </row>
    <row r="790">
      <c r="A790" s="29"/>
      <c r="B790" s="24"/>
      <c r="C790" s="17"/>
      <c r="D790" s="17"/>
      <c r="E790" s="17"/>
      <c r="F790" s="17"/>
      <c r="G790" s="17"/>
      <c r="H790" s="17"/>
      <c r="I790" s="17"/>
      <c r="J790" s="17"/>
      <c r="K790" s="17"/>
    </row>
    <row r="791">
      <c r="A791" s="29"/>
      <c r="B791" s="24"/>
      <c r="C791" s="17"/>
      <c r="D791" s="17"/>
      <c r="E791" s="17"/>
      <c r="F791" s="17"/>
      <c r="G791" s="17"/>
      <c r="H791" s="17"/>
      <c r="I791" s="17"/>
      <c r="J791" s="17"/>
      <c r="K791" s="17"/>
    </row>
    <row r="792">
      <c r="A792" s="29"/>
      <c r="B792" s="24"/>
      <c r="C792" s="17"/>
      <c r="D792" s="17"/>
      <c r="E792" s="17"/>
      <c r="F792" s="17"/>
      <c r="G792" s="17"/>
      <c r="H792" s="17"/>
      <c r="I792" s="17"/>
      <c r="J792" s="17"/>
      <c r="K792" s="17"/>
    </row>
    <row r="793">
      <c r="A793" s="29"/>
      <c r="B793" s="24"/>
      <c r="C793" s="17"/>
      <c r="D793" s="17"/>
      <c r="E793" s="17"/>
      <c r="F793" s="17"/>
      <c r="G793" s="17"/>
      <c r="H793" s="17"/>
      <c r="I793" s="17"/>
      <c r="J793" s="17"/>
      <c r="K793" s="17"/>
    </row>
    <row r="794">
      <c r="A794" s="29"/>
      <c r="B794" s="24"/>
      <c r="C794" s="17"/>
      <c r="D794" s="17"/>
      <c r="E794" s="17"/>
      <c r="F794" s="17"/>
      <c r="G794" s="17"/>
      <c r="H794" s="17"/>
      <c r="I794" s="17"/>
      <c r="J794" s="17"/>
      <c r="K794" s="17"/>
    </row>
    <row r="795">
      <c r="A795" s="29"/>
      <c r="B795" s="24"/>
      <c r="C795" s="17"/>
      <c r="D795" s="17"/>
      <c r="E795" s="17"/>
      <c r="F795" s="17"/>
      <c r="G795" s="17"/>
      <c r="H795" s="17"/>
      <c r="I795" s="17"/>
      <c r="J795" s="17"/>
      <c r="K795" s="17"/>
    </row>
    <row r="796">
      <c r="A796" s="29"/>
      <c r="B796" s="24"/>
      <c r="C796" s="17"/>
      <c r="D796" s="17"/>
      <c r="E796" s="17"/>
      <c r="F796" s="17"/>
      <c r="G796" s="17"/>
      <c r="H796" s="17"/>
      <c r="I796" s="17"/>
      <c r="J796" s="17"/>
      <c r="K796" s="17"/>
    </row>
    <row r="797">
      <c r="A797" s="29"/>
      <c r="B797" s="24"/>
      <c r="C797" s="17"/>
      <c r="D797" s="17"/>
      <c r="E797" s="17"/>
      <c r="F797" s="17"/>
      <c r="G797" s="17"/>
      <c r="H797" s="17"/>
      <c r="I797" s="17"/>
      <c r="J797" s="17"/>
      <c r="K797" s="17"/>
    </row>
    <row r="798">
      <c r="A798" s="29"/>
      <c r="B798" s="24"/>
      <c r="C798" s="17"/>
      <c r="D798" s="17"/>
      <c r="E798" s="17"/>
      <c r="F798" s="17"/>
      <c r="G798" s="17"/>
      <c r="H798" s="17"/>
      <c r="I798" s="17"/>
      <c r="J798" s="17"/>
      <c r="K798" s="17"/>
    </row>
    <row r="799">
      <c r="A799" s="29"/>
      <c r="B799" s="24"/>
      <c r="C799" s="17"/>
      <c r="D799" s="17"/>
      <c r="E799" s="17"/>
      <c r="F799" s="17"/>
      <c r="G799" s="17"/>
      <c r="H799" s="17"/>
      <c r="I799" s="17"/>
      <c r="J799" s="17"/>
      <c r="K799" s="17"/>
    </row>
    <row r="800">
      <c r="A800" s="29"/>
      <c r="B800" s="24"/>
      <c r="C800" s="17"/>
      <c r="D800" s="17"/>
      <c r="E800" s="17"/>
      <c r="F800" s="17"/>
      <c r="G800" s="17"/>
      <c r="H800" s="17"/>
      <c r="I800" s="17"/>
      <c r="J800" s="17"/>
      <c r="K800" s="17"/>
    </row>
    <row r="801">
      <c r="A801" s="29"/>
      <c r="B801" s="24"/>
      <c r="C801" s="17"/>
      <c r="D801" s="17"/>
      <c r="E801" s="17"/>
      <c r="F801" s="17"/>
      <c r="G801" s="17"/>
      <c r="H801" s="17"/>
      <c r="I801" s="17"/>
      <c r="J801" s="17"/>
      <c r="K801" s="17"/>
    </row>
    <row r="802">
      <c r="A802" s="29"/>
      <c r="B802" s="24"/>
      <c r="C802" s="17"/>
      <c r="D802" s="17"/>
      <c r="E802" s="17"/>
      <c r="F802" s="17"/>
      <c r="G802" s="17"/>
      <c r="H802" s="17"/>
      <c r="I802" s="17"/>
      <c r="J802" s="17"/>
      <c r="K802" s="17"/>
    </row>
    <row r="803">
      <c r="A803" s="29"/>
      <c r="B803" s="24"/>
      <c r="C803" s="17"/>
      <c r="D803" s="17"/>
      <c r="E803" s="17"/>
      <c r="F803" s="17"/>
      <c r="G803" s="17"/>
      <c r="H803" s="17"/>
      <c r="I803" s="17"/>
      <c r="J803" s="17"/>
      <c r="K803" s="17"/>
    </row>
    <row r="804">
      <c r="A804" s="29"/>
      <c r="B804" s="24"/>
      <c r="C804" s="17"/>
      <c r="D804" s="17"/>
      <c r="E804" s="17"/>
      <c r="F804" s="17"/>
      <c r="G804" s="17"/>
      <c r="H804" s="17"/>
      <c r="I804" s="17"/>
      <c r="J804" s="17"/>
      <c r="K804" s="17"/>
    </row>
    <row r="805">
      <c r="A805" s="29"/>
      <c r="B805" s="24"/>
      <c r="C805" s="17"/>
      <c r="D805" s="17"/>
      <c r="E805" s="17"/>
      <c r="F805" s="17"/>
      <c r="G805" s="17"/>
      <c r="H805" s="17"/>
      <c r="I805" s="17"/>
      <c r="J805" s="17"/>
      <c r="K805" s="17"/>
    </row>
    <row r="806">
      <c r="A806" s="29"/>
      <c r="B806" s="24"/>
      <c r="C806" s="17"/>
      <c r="D806" s="17"/>
      <c r="E806" s="17"/>
      <c r="F806" s="17"/>
      <c r="G806" s="17"/>
      <c r="H806" s="17"/>
      <c r="I806" s="17"/>
      <c r="J806" s="17"/>
      <c r="K806" s="17"/>
    </row>
    <row r="807">
      <c r="A807" s="29"/>
      <c r="B807" s="24"/>
      <c r="C807" s="17"/>
      <c r="D807" s="17"/>
      <c r="E807" s="17"/>
      <c r="F807" s="17"/>
      <c r="G807" s="17"/>
      <c r="H807" s="17"/>
      <c r="I807" s="17"/>
      <c r="J807" s="17"/>
      <c r="K807" s="17"/>
    </row>
    <row r="808">
      <c r="A808" s="29"/>
      <c r="B808" s="24"/>
      <c r="C808" s="17"/>
      <c r="D808" s="17"/>
      <c r="E808" s="17"/>
      <c r="F808" s="17"/>
      <c r="G808" s="17"/>
      <c r="H808" s="17"/>
      <c r="I808" s="17"/>
      <c r="J808" s="17"/>
      <c r="K808" s="17"/>
    </row>
    <row r="809">
      <c r="A809" s="29"/>
      <c r="B809" s="24"/>
      <c r="C809" s="17"/>
      <c r="D809" s="17"/>
      <c r="E809" s="17"/>
      <c r="F809" s="17"/>
      <c r="G809" s="17"/>
      <c r="H809" s="17"/>
      <c r="I809" s="17"/>
      <c r="J809" s="17"/>
      <c r="K809" s="17"/>
    </row>
    <row r="810">
      <c r="A810" s="29"/>
      <c r="B810" s="24"/>
      <c r="C810" s="17"/>
      <c r="D810" s="17"/>
      <c r="E810" s="17"/>
      <c r="F810" s="17"/>
      <c r="G810" s="17"/>
      <c r="H810" s="17"/>
      <c r="I810" s="17"/>
      <c r="J810" s="17"/>
      <c r="K810" s="17"/>
    </row>
    <row r="811">
      <c r="A811" s="29"/>
      <c r="B811" s="24"/>
      <c r="C811" s="17"/>
      <c r="D811" s="17"/>
      <c r="E811" s="17"/>
      <c r="F811" s="17"/>
      <c r="G811" s="17"/>
      <c r="H811" s="17"/>
      <c r="I811" s="17"/>
      <c r="J811" s="17"/>
      <c r="K811" s="17"/>
    </row>
    <row r="812">
      <c r="A812" s="29"/>
      <c r="B812" s="24"/>
      <c r="C812" s="17"/>
      <c r="D812" s="17"/>
      <c r="E812" s="17"/>
      <c r="F812" s="17"/>
      <c r="G812" s="17"/>
      <c r="H812" s="17"/>
      <c r="I812" s="17"/>
      <c r="J812" s="17"/>
      <c r="K812" s="17"/>
    </row>
    <row r="813">
      <c r="A813" s="29"/>
      <c r="B813" s="24"/>
      <c r="C813" s="17"/>
      <c r="D813" s="17"/>
      <c r="E813" s="17"/>
      <c r="F813" s="17"/>
      <c r="G813" s="17"/>
      <c r="H813" s="17"/>
      <c r="I813" s="17"/>
      <c r="J813" s="17"/>
      <c r="K813" s="17"/>
    </row>
    <row r="814">
      <c r="A814" s="29"/>
      <c r="B814" s="24"/>
      <c r="C814" s="17"/>
      <c r="D814" s="17"/>
      <c r="E814" s="17"/>
      <c r="F814" s="17"/>
      <c r="G814" s="17"/>
      <c r="H814" s="17"/>
      <c r="I814" s="17"/>
      <c r="J814" s="17"/>
      <c r="K814" s="17"/>
    </row>
    <row r="815">
      <c r="A815" s="29"/>
      <c r="B815" s="24"/>
      <c r="C815" s="17"/>
      <c r="D815" s="17"/>
      <c r="E815" s="17"/>
      <c r="F815" s="17"/>
      <c r="G815" s="17"/>
      <c r="H815" s="17"/>
      <c r="I815" s="17"/>
      <c r="J815" s="17"/>
      <c r="K815" s="17"/>
    </row>
    <row r="816">
      <c r="A816" s="29"/>
      <c r="B816" s="24"/>
      <c r="C816" s="17"/>
      <c r="D816" s="17"/>
      <c r="E816" s="17"/>
      <c r="F816" s="17"/>
      <c r="G816" s="17"/>
      <c r="H816" s="17"/>
      <c r="I816" s="17"/>
      <c r="J816" s="17"/>
      <c r="K816" s="17"/>
    </row>
    <row r="817">
      <c r="A817" s="29"/>
      <c r="B817" s="24"/>
      <c r="C817" s="17"/>
      <c r="D817" s="17"/>
      <c r="E817" s="17"/>
      <c r="F817" s="17"/>
      <c r="G817" s="17"/>
      <c r="H817" s="17"/>
      <c r="I817" s="17"/>
      <c r="J817" s="17"/>
      <c r="K817" s="17"/>
    </row>
    <row r="818">
      <c r="A818" s="29"/>
      <c r="B818" s="24"/>
      <c r="C818" s="17"/>
      <c r="D818" s="17"/>
      <c r="E818" s="17"/>
      <c r="F818" s="17"/>
      <c r="G818" s="17"/>
      <c r="H818" s="17"/>
      <c r="I818" s="17"/>
      <c r="J818" s="17"/>
      <c r="K818" s="17"/>
    </row>
    <row r="819">
      <c r="A819" s="29"/>
      <c r="B819" s="24"/>
      <c r="C819" s="17"/>
      <c r="D819" s="17"/>
      <c r="E819" s="17"/>
      <c r="F819" s="17"/>
      <c r="G819" s="17"/>
      <c r="H819" s="17"/>
      <c r="I819" s="17"/>
      <c r="J819" s="17"/>
      <c r="K819" s="17"/>
    </row>
    <row r="820">
      <c r="A820" s="29"/>
      <c r="B820" s="24"/>
      <c r="C820" s="17"/>
      <c r="D820" s="17"/>
      <c r="E820" s="17"/>
      <c r="F820" s="17"/>
      <c r="G820" s="17"/>
      <c r="H820" s="17"/>
      <c r="I820" s="17"/>
      <c r="J820" s="17"/>
      <c r="K820" s="17"/>
    </row>
    <row r="821">
      <c r="A821" s="29"/>
      <c r="B821" s="24"/>
      <c r="C821" s="17"/>
      <c r="D821" s="17"/>
      <c r="E821" s="17"/>
      <c r="F821" s="17"/>
      <c r="G821" s="17"/>
      <c r="H821" s="17"/>
      <c r="I821" s="17"/>
      <c r="J821" s="17"/>
      <c r="K821" s="17"/>
    </row>
    <row r="822">
      <c r="A822" s="29"/>
      <c r="B822" s="24"/>
      <c r="C822" s="17"/>
      <c r="D822" s="17"/>
      <c r="E822" s="17"/>
      <c r="F822" s="17"/>
      <c r="G822" s="17"/>
      <c r="H822" s="17"/>
      <c r="I822" s="17"/>
      <c r="J822" s="17"/>
      <c r="K822" s="17"/>
    </row>
    <row r="823">
      <c r="A823" s="29"/>
      <c r="B823" s="24"/>
      <c r="C823" s="17"/>
      <c r="D823" s="17"/>
      <c r="E823" s="17"/>
      <c r="F823" s="17"/>
      <c r="G823" s="17"/>
      <c r="H823" s="17"/>
      <c r="I823" s="17"/>
      <c r="J823" s="17"/>
      <c r="K823" s="17"/>
    </row>
    <row r="824">
      <c r="A824" s="29"/>
      <c r="B824" s="24"/>
      <c r="C824" s="17"/>
      <c r="D824" s="17"/>
      <c r="E824" s="17"/>
      <c r="F824" s="17"/>
      <c r="G824" s="17"/>
      <c r="H824" s="17"/>
      <c r="I824" s="17"/>
      <c r="J824" s="17"/>
      <c r="K824" s="17"/>
    </row>
    <row r="825">
      <c r="A825" s="29"/>
      <c r="B825" s="24"/>
      <c r="C825" s="17"/>
      <c r="D825" s="17"/>
      <c r="E825" s="17"/>
      <c r="F825" s="17"/>
      <c r="G825" s="17"/>
      <c r="H825" s="17"/>
      <c r="I825" s="17"/>
      <c r="J825" s="17"/>
      <c r="K825" s="17"/>
    </row>
    <row r="826">
      <c r="A826" s="29"/>
      <c r="B826" s="24"/>
      <c r="C826" s="17"/>
      <c r="D826" s="17"/>
      <c r="E826" s="17"/>
      <c r="F826" s="17"/>
      <c r="G826" s="17"/>
      <c r="H826" s="17"/>
      <c r="I826" s="17"/>
      <c r="J826" s="17"/>
      <c r="K826" s="17"/>
    </row>
    <row r="827">
      <c r="A827" s="29"/>
      <c r="B827" s="24"/>
      <c r="C827" s="17"/>
      <c r="D827" s="17"/>
      <c r="E827" s="17"/>
      <c r="F827" s="17"/>
      <c r="G827" s="17"/>
      <c r="H827" s="17"/>
      <c r="I827" s="17"/>
      <c r="J827" s="17"/>
      <c r="K827" s="17"/>
    </row>
    <row r="828">
      <c r="A828" s="29"/>
      <c r="B828" s="24"/>
      <c r="C828" s="17"/>
      <c r="D828" s="17"/>
      <c r="E828" s="17"/>
      <c r="F828" s="17"/>
      <c r="G828" s="17"/>
      <c r="H828" s="17"/>
      <c r="I828" s="17"/>
      <c r="J828" s="17"/>
      <c r="K828" s="17"/>
    </row>
    <row r="829">
      <c r="A829" s="29"/>
      <c r="B829" s="24"/>
      <c r="C829" s="17"/>
      <c r="D829" s="17"/>
      <c r="E829" s="17"/>
      <c r="F829" s="17"/>
      <c r="G829" s="17"/>
      <c r="H829" s="17"/>
      <c r="I829" s="17"/>
      <c r="J829" s="17"/>
      <c r="K829" s="17"/>
    </row>
    <row r="830">
      <c r="A830" s="29"/>
      <c r="B830" s="24"/>
      <c r="C830" s="17"/>
      <c r="D830" s="17"/>
      <c r="E830" s="17"/>
      <c r="F830" s="17"/>
      <c r="G830" s="17"/>
      <c r="H830" s="17"/>
      <c r="I830" s="17"/>
      <c r="J830" s="17"/>
      <c r="K830" s="17"/>
    </row>
    <row r="831">
      <c r="A831" s="29"/>
      <c r="B831" s="24"/>
      <c r="C831" s="17"/>
      <c r="D831" s="17"/>
      <c r="E831" s="17"/>
      <c r="F831" s="17"/>
      <c r="G831" s="17"/>
      <c r="H831" s="17"/>
      <c r="I831" s="17"/>
      <c r="J831" s="17"/>
      <c r="K831" s="17"/>
    </row>
    <row r="832">
      <c r="A832" s="29"/>
      <c r="B832" s="24"/>
      <c r="C832" s="17"/>
      <c r="D832" s="17"/>
      <c r="E832" s="17"/>
      <c r="F832" s="17"/>
      <c r="G832" s="17"/>
      <c r="H832" s="17"/>
      <c r="I832" s="17"/>
      <c r="J832" s="17"/>
      <c r="K832" s="17"/>
    </row>
    <row r="833">
      <c r="A833" s="29"/>
      <c r="B833" s="24"/>
      <c r="C833" s="17"/>
      <c r="D833" s="17"/>
      <c r="E833" s="17"/>
      <c r="F833" s="17"/>
      <c r="G833" s="17"/>
      <c r="H833" s="17"/>
      <c r="I833" s="17"/>
      <c r="J833" s="17"/>
      <c r="K833" s="17"/>
    </row>
    <row r="834">
      <c r="A834" s="29"/>
      <c r="B834" s="24"/>
      <c r="C834" s="17"/>
      <c r="D834" s="17"/>
      <c r="E834" s="17"/>
      <c r="F834" s="17"/>
      <c r="G834" s="17"/>
      <c r="H834" s="17"/>
      <c r="I834" s="17"/>
      <c r="J834" s="17"/>
      <c r="K834" s="17"/>
    </row>
    <row r="835">
      <c r="A835" s="29"/>
      <c r="B835" s="24"/>
      <c r="C835" s="17"/>
      <c r="D835" s="17"/>
      <c r="E835" s="17"/>
      <c r="F835" s="17"/>
      <c r="G835" s="17"/>
      <c r="H835" s="17"/>
      <c r="I835" s="17"/>
      <c r="J835" s="17"/>
      <c r="K835" s="17"/>
    </row>
    <row r="836">
      <c r="A836" s="29"/>
      <c r="B836" s="24"/>
      <c r="C836" s="17"/>
      <c r="D836" s="17"/>
      <c r="E836" s="17"/>
      <c r="F836" s="17"/>
      <c r="G836" s="17"/>
      <c r="H836" s="17"/>
      <c r="I836" s="17"/>
      <c r="J836" s="17"/>
      <c r="K836" s="17"/>
    </row>
    <row r="837">
      <c r="A837" s="29"/>
      <c r="B837" s="24"/>
      <c r="C837" s="17"/>
      <c r="D837" s="17"/>
      <c r="E837" s="17"/>
      <c r="F837" s="17"/>
      <c r="G837" s="17"/>
      <c r="H837" s="17"/>
      <c r="I837" s="17"/>
      <c r="J837" s="17"/>
      <c r="K837" s="17"/>
    </row>
    <row r="838">
      <c r="A838" s="29"/>
      <c r="B838" s="24"/>
      <c r="C838" s="17"/>
      <c r="D838" s="17"/>
      <c r="E838" s="17"/>
      <c r="F838" s="17"/>
      <c r="G838" s="17"/>
      <c r="H838" s="17"/>
      <c r="I838" s="17"/>
      <c r="J838" s="17"/>
      <c r="K838" s="17"/>
    </row>
    <row r="839">
      <c r="A839" s="29"/>
      <c r="B839" s="24"/>
      <c r="C839" s="17"/>
      <c r="D839" s="17"/>
      <c r="E839" s="17"/>
      <c r="F839" s="17"/>
      <c r="G839" s="17"/>
      <c r="H839" s="17"/>
      <c r="I839" s="17"/>
      <c r="J839" s="17"/>
      <c r="K839" s="17"/>
    </row>
    <row r="840">
      <c r="A840" s="29"/>
      <c r="B840" s="24"/>
      <c r="C840" s="17"/>
      <c r="D840" s="17"/>
      <c r="E840" s="17"/>
      <c r="F840" s="17"/>
      <c r="G840" s="17"/>
      <c r="H840" s="17"/>
      <c r="I840" s="17"/>
      <c r="J840" s="17"/>
      <c r="K840" s="17"/>
    </row>
    <row r="841">
      <c r="A841" s="29"/>
      <c r="B841" s="24"/>
      <c r="C841" s="17"/>
      <c r="D841" s="17"/>
      <c r="E841" s="17"/>
      <c r="F841" s="17"/>
      <c r="G841" s="17"/>
      <c r="H841" s="17"/>
      <c r="I841" s="17"/>
      <c r="J841" s="17"/>
      <c r="K841" s="17"/>
    </row>
    <row r="842">
      <c r="A842" s="29"/>
      <c r="B842" s="24"/>
      <c r="C842" s="17"/>
      <c r="D842" s="17"/>
      <c r="E842" s="17"/>
      <c r="F842" s="17"/>
      <c r="G842" s="17"/>
      <c r="H842" s="17"/>
      <c r="I842" s="17"/>
      <c r="J842" s="17"/>
      <c r="K842" s="17"/>
    </row>
    <row r="843">
      <c r="A843" s="29"/>
      <c r="B843" s="24"/>
      <c r="C843" s="17"/>
      <c r="D843" s="17"/>
      <c r="E843" s="17"/>
      <c r="F843" s="17"/>
      <c r="G843" s="17"/>
      <c r="H843" s="17"/>
      <c r="I843" s="17"/>
      <c r="J843" s="17"/>
      <c r="K843" s="17"/>
    </row>
    <row r="844">
      <c r="A844" s="29"/>
      <c r="B844" s="24"/>
      <c r="C844" s="17"/>
      <c r="D844" s="17"/>
      <c r="E844" s="17"/>
      <c r="F844" s="17"/>
      <c r="G844" s="17"/>
      <c r="H844" s="17"/>
      <c r="I844" s="17"/>
      <c r="J844" s="17"/>
      <c r="K844" s="17"/>
    </row>
    <row r="845">
      <c r="A845" s="29"/>
      <c r="B845" s="24"/>
      <c r="C845" s="17"/>
      <c r="D845" s="17"/>
      <c r="E845" s="17"/>
      <c r="F845" s="17"/>
      <c r="G845" s="17"/>
      <c r="H845" s="17"/>
      <c r="I845" s="17"/>
      <c r="J845" s="17"/>
      <c r="K845" s="17"/>
    </row>
    <row r="846">
      <c r="A846" s="29"/>
      <c r="B846" s="24"/>
      <c r="C846" s="17"/>
      <c r="D846" s="17"/>
      <c r="E846" s="17"/>
      <c r="F846" s="17"/>
      <c r="G846" s="17"/>
      <c r="H846" s="17"/>
      <c r="I846" s="17"/>
      <c r="J846" s="17"/>
      <c r="K846" s="17"/>
    </row>
    <row r="847">
      <c r="A847" s="29"/>
      <c r="B847" s="24"/>
      <c r="C847" s="17"/>
      <c r="D847" s="17"/>
      <c r="E847" s="17"/>
      <c r="F847" s="17"/>
      <c r="G847" s="17"/>
      <c r="H847" s="17"/>
      <c r="I847" s="17"/>
      <c r="J847" s="17"/>
      <c r="K847" s="17"/>
    </row>
    <row r="848">
      <c r="A848" s="29"/>
      <c r="B848" s="24"/>
      <c r="C848" s="17"/>
      <c r="D848" s="17"/>
      <c r="E848" s="17"/>
      <c r="F848" s="17"/>
      <c r="G848" s="17"/>
      <c r="H848" s="17"/>
      <c r="I848" s="17"/>
      <c r="J848" s="17"/>
      <c r="K848" s="17"/>
    </row>
    <row r="849">
      <c r="A849" s="29"/>
      <c r="B849" s="24"/>
      <c r="C849" s="17"/>
      <c r="D849" s="17"/>
      <c r="E849" s="17"/>
      <c r="F849" s="17"/>
      <c r="G849" s="17"/>
      <c r="H849" s="17"/>
      <c r="I849" s="17"/>
      <c r="J849" s="17"/>
      <c r="K849" s="17"/>
    </row>
    <row r="850">
      <c r="A850" s="29"/>
      <c r="B850" s="24"/>
      <c r="C850" s="17"/>
      <c r="D850" s="17"/>
      <c r="E850" s="17"/>
      <c r="F850" s="17"/>
      <c r="G850" s="17"/>
      <c r="H850" s="17"/>
      <c r="I850" s="17"/>
      <c r="J850" s="17"/>
      <c r="K850" s="17"/>
    </row>
    <row r="851">
      <c r="A851" s="29"/>
      <c r="B851" s="24"/>
      <c r="C851" s="17"/>
      <c r="D851" s="17"/>
      <c r="E851" s="17"/>
      <c r="F851" s="17"/>
      <c r="G851" s="17"/>
      <c r="H851" s="17"/>
      <c r="I851" s="17"/>
      <c r="J851" s="17"/>
      <c r="K851" s="17"/>
    </row>
    <row r="852">
      <c r="A852" s="29"/>
      <c r="B852" s="24"/>
      <c r="C852" s="17"/>
      <c r="D852" s="17"/>
      <c r="E852" s="17"/>
      <c r="F852" s="17"/>
      <c r="G852" s="17"/>
      <c r="H852" s="17"/>
      <c r="I852" s="17"/>
      <c r="J852" s="17"/>
      <c r="K852" s="17"/>
    </row>
    <row r="853">
      <c r="A853" s="29"/>
      <c r="B853" s="24"/>
      <c r="C853" s="17"/>
      <c r="D853" s="17"/>
      <c r="E853" s="17"/>
      <c r="F853" s="17"/>
      <c r="G853" s="17"/>
      <c r="H853" s="17"/>
      <c r="I853" s="17"/>
      <c r="J853" s="17"/>
      <c r="K853" s="17"/>
    </row>
    <row r="854">
      <c r="A854" s="29"/>
      <c r="B854" s="24"/>
      <c r="C854" s="17"/>
      <c r="D854" s="17"/>
      <c r="E854" s="17"/>
      <c r="F854" s="17"/>
      <c r="G854" s="17"/>
      <c r="H854" s="17"/>
      <c r="I854" s="17"/>
      <c r="J854" s="17"/>
      <c r="K854" s="17"/>
    </row>
    <row r="855">
      <c r="A855" s="29"/>
      <c r="B855" s="24"/>
      <c r="C855" s="17"/>
      <c r="D855" s="17"/>
      <c r="E855" s="17"/>
      <c r="F855" s="17"/>
      <c r="G855" s="17"/>
      <c r="H855" s="17"/>
      <c r="I855" s="17"/>
      <c r="J855" s="17"/>
      <c r="K855" s="17"/>
    </row>
    <row r="856">
      <c r="A856" s="29"/>
      <c r="B856" s="24"/>
      <c r="C856" s="17"/>
      <c r="D856" s="17"/>
      <c r="E856" s="17"/>
      <c r="F856" s="17"/>
      <c r="G856" s="17"/>
      <c r="H856" s="17"/>
      <c r="I856" s="17"/>
      <c r="J856" s="17"/>
      <c r="K856" s="17"/>
    </row>
    <row r="857">
      <c r="A857" s="29"/>
      <c r="B857" s="24"/>
      <c r="C857" s="17"/>
      <c r="D857" s="17"/>
      <c r="E857" s="17"/>
      <c r="F857" s="17"/>
      <c r="G857" s="17"/>
      <c r="H857" s="17"/>
      <c r="I857" s="17"/>
      <c r="J857" s="17"/>
      <c r="K857" s="17"/>
    </row>
    <row r="858">
      <c r="A858" s="29"/>
      <c r="B858" s="24"/>
      <c r="C858" s="17"/>
      <c r="D858" s="17"/>
      <c r="E858" s="17"/>
      <c r="F858" s="17"/>
      <c r="G858" s="17"/>
      <c r="H858" s="17"/>
      <c r="I858" s="17"/>
      <c r="J858" s="17"/>
      <c r="K858" s="17"/>
    </row>
    <row r="859">
      <c r="A859" s="29"/>
      <c r="B859" s="24"/>
      <c r="C859" s="17"/>
      <c r="D859" s="17"/>
      <c r="E859" s="17"/>
      <c r="F859" s="17"/>
      <c r="G859" s="17"/>
      <c r="H859" s="17"/>
      <c r="I859" s="17"/>
      <c r="J859" s="17"/>
      <c r="K859" s="17"/>
    </row>
    <row r="860">
      <c r="A860" s="29"/>
      <c r="B860" s="24"/>
      <c r="C860" s="17"/>
      <c r="D860" s="17"/>
      <c r="E860" s="17"/>
      <c r="F860" s="17"/>
      <c r="G860" s="17"/>
      <c r="H860" s="17"/>
      <c r="I860" s="17"/>
      <c r="J860" s="17"/>
      <c r="K860" s="17"/>
    </row>
    <row r="861">
      <c r="A861" s="29"/>
      <c r="B861" s="24"/>
      <c r="C861" s="17"/>
      <c r="D861" s="17"/>
      <c r="E861" s="17"/>
      <c r="F861" s="17"/>
      <c r="G861" s="17"/>
      <c r="H861" s="17"/>
      <c r="I861" s="17"/>
      <c r="J861" s="17"/>
      <c r="K861" s="17"/>
    </row>
    <row r="862">
      <c r="A862" s="29"/>
      <c r="B862" s="24"/>
      <c r="C862" s="17"/>
      <c r="D862" s="17"/>
      <c r="E862" s="17"/>
      <c r="F862" s="17"/>
      <c r="G862" s="17"/>
      <c r="H862" s="17"/>
      <c r="I862" s="17"/>
      <c r="J862" s="17"/>
      <c r="K862" s="17"/>
    </row>
    <row r="863">
      <c r="A863" s="29"/>
      <c r="B863" s="24"/>
      <c r="C863" s="17"/>
      <c r="D863" s="17"/>
      <c r="E863" s="17"/>
      <c r="F863" s="17"/>
      <c r="G863" s="17"/>
      <c r="H863" s="17"/>
      <c r="I863" s="17"/>
      <c r="J863" s="17"/>
      <c r="K863" s="17"/>
    </row>
    <row r="864">
      <c r="A864" s="29"/>
      <c r="B864" s="24"/>
      <c r="C864" s="17"/>
      <c r="D864" s="17"/>
      <c r="E864" s="17"/>
      <c r="F864" s="17"/>
      <c r="G864" s="17"/>
      <c r="H864" s="17"/>
      <c r="I864" s="17"/>
      <c r="J864" s="17"/>
      <c r="K864" s="17"/>
    </row>
    <row r="865">
      <c r="A865" s="29"/>
      <c r="B865" s="24"/>
      <c r="C865" s="17"/>
      <c r="D865" s="17"/>
      <c r="E865" s="17"/>
      <c r="F865" s="17"/>
      <c r="G865" s="17"/>
      <c r="H865" s="17"/>
      <c r="I865" s="17"/>
      <c r="J865" s="17"/>
      <c r="K865" s="17"/>
    </row>
    <row r="866">
      <c r="A866" s="29"/>
      <c r="B866" s="24"/>
      <c r="C866" s="17"/>
      <c r="D866" s="17"/>
      <c r="E866" s="17"/>
      <c r="F866" s="17"/>
      <c r="G866" s="17"/>
      <c r="H866" s="17"/>
      <c r="I866" s="17"/>
      <c r="J866" s="17"/>
      <c r="K866" s="17"/>
    </row>
    <row r="867">
      <c r="A867" s="29"/>
      <c r="B867" s="24"/>
      <c r="C867" s="17"/>
      <c r="D867" s="17"/>
      <c r="E867" s="17"/>
      <c r="F867" s="17"/>
      <c r="G867" s="17"/>
      <c r="H867" s="17"/>
      <c r="I867" s="17"/>
      <c r="J867" s="17"/>
      <c r="K867" s="17"/>
    </row>
    <row r="868">
      <c r="A868" s="29"/>
      <c r="B868" s="24"/>
      <c r="C868" s="17"/>
      <c r="D868" s="17"/>
      <c r="E868" s="17"/>
      <c r="F868" s="17"/>
      <c r="G868" s="17"/>
      <c r="H868" s="17"/>
      <c r="I868" s="17"/>
      <c r="J868" s="17"/>
      <c r="K868" s="17"/>
    </row>
    <row r="869">
      <c r="A869" s="29"/>
      <c r="B869" s="24"/>
      <c r="C869" s="17"/>
      <c r="D869" s="17"/>
      <c r="E869" s="17"/>
      <c r="F869" s="17"/>
      <c r="G869" s="17"/>
      <c r="H869" s="17"/>
      <c r="I869" s="17"/>
      <c r="J869" s="17"/>
      <c r="K869" s="17"/>
    </row>
    <row r="870">
      <c r="A870" s="29"/>
      <c r="B870" s="24"/>
      <c r="C870" s="17"/>
      <c r="D870" s="17"/>
      <c r="E870" s="17"/>
      <c r="F870" s="17"/>
      <c r="G870" s="17"/>
      <c r="H870" s="17"/>
      <c r="I870" s="17"/>
      <c r="J870" s="17"/>
      <c r="K870" s="17"/>
    </row>
    <row r="871">
      <c r="A871" s="29"/>
      <c r="B871" s="24"/>
      <c r="C871" s="17"/>
      <c r="D871" s="17"/>
      <c r="E871" s="17"/>
      <c r="F871" s="17"/>
      <c r="G871" s="17"/>
      <c r="H871" s="17"/>
      <c r="I871" s="17"/>
      <c r="J871" s="17"/>
      <c r="K871" s="17"/>
    </row>
    <row r="872">
      <c r="A872" s="29"/>
      <c r="B872" s="24"/>
      <c r="C872" s="17"/>
      <c r="D872" s="17"/>
      <c r="E872" s="17"/>
      <c r="F872" s="17"/>
      <c r="G872" s="17"/>
      <c r="H872" s="17"/>
      <c r="I872" s="17"/>
      <c r="J872" s="17"/>
      <c r="K872" s="17"/>
    </row>
    <row r="873">
      <c r="A873" s="29"/>
      <c r="B873" s="24"/>
      <c r="C873" s="17"/>
      <c r="D873" s="17"/>
      <c r="E873" s="17"/>
      <c r="F873" s="17"/>
      <c r="G873" s="17"/>
      <c r="H873" s="17"/>
      <c r="I873" s="17"/>
      <c r="J873" s="17"/>
      <c r="K873" s="17"/>
    </row>
    <row r="874">
      <c r="A874" s="29"/>
      <c r="B874" s="24"/>
      <c r="C874" s="17"/>
      <c r="D874" s="17"/>
      <c r="E874" s="17"/>
      <c r="F874" s="17"/>
      <c r="G874" s="17"/>
      <c r="H874" s="17"/>
      <c r="I874" s="17"/>
      <c r="J874" s="17"/>
      <c r="K874" s="17"/>
    </row>
    <row r="875">
      <c r="A875" s="29"/>
      <c r="B875" s="24"/>
      <c r="C875" s="17"/>
      <c r="D875" s="17"/>
      <c r="E875" s="17"/>
      <c r="F875" s="17"/>
      <c r="G875" s="17"/>
      <c r="H875" s="17"/>
      <c r="I875" s="17"/>
      <c r="J875" s="17"/>
      <c r="K875" s="17"/>
    </row>
    <row r="876">
      <c r="A876" s="29"/>
      <c r="B876" s="24"/>
      <c r="C876" s="17"/>
      <c r="D876" s="17"/>
      <c r="E876" s="17"/>
      <c r="F876" s="17"/>
      <c r="G876" s="17"/>
      <c r="H876" s="17"/>
      <c r="I876" s="17"/>
      <c r="J876" s="17"/>
      <c r="K876" s="17"/>
    </row>
    <row r="877">
      <c r="A877" s="29"/>
      <c r="B877" s="24"/>
      <c r="C877" s="17"/>
      <c r="D877" s="17"/>
      <c r="E877" s="17"/>
      <c r="F877" s="17"/>
      <c r="G877" s="17"/>
      <c r="H877" s="17"/>
      <c r="I877" s="17"/>
      <c r="J877" s="17"/>
      <c r="K877" s="17"/>
    </row>
    <row r="878">
      <c r="A878" s="29"/>
      <c r="B878" s="24"/>
      <c r="C878" s="17"/>
      <c r="D878" s="17"/>
      <c r="E878" s="17"/>
      <c r="F878" s="17"/>
      <c r="G878" s="17"/>
      <c r="H878" s="17"/>
      <c r="I878" s="17"/>
      <c r="J878" s="17"/>
      <c r="K878" s="17"/>
    </row>
    <row r="879">
      <c r="A879" s="29"/>
      <c r="B879" s="24"/>
      <c r="C879" s="17"/>
      <c r="D879" s="17"/>
      <c r="E879" s="17"/>
      <c r="F879" s="17"/>
      <c r="G879" s="17"/>
      <c r="H879" s="17"/>
      <c r="I879" s="17"/>
      <c r="J879" s="17"/>
      <c r="K879" s="17"/>
    </row>
    <row r="880">
      <c r="A880" s="29"/>
      <c r="B880" s="24"/>
      <c r="C880" s="17"/>
      <c r="D880" s="17"/>
      <c r="E880" s="17"/>
      <c r="F880" s="17"/>
      <c r="G880" s="17"/>
      <c r="H880" s="17"/>
      <c r="I880" s="17"/>
      <c r="J880" s="17"/>
      <c r="K880" s="17"/>
    </row>
    <row r="881">
      <c r="A881" s="29"/>
      <c r="B881" s="24"/>
      <c r="C881" s="17"/>
      <c r="D881" s="17"/>
      <c r="E881" s="17"/>
      <c r="F881" s="17"/>
      <c r="G881" s="17"/>
      <c r="H881" s="17"/>
      <c r="I881" s="17"/>
      <c r="J881" s="17"/>
      <c r="K881" s="17"/>
    </row>
    <row r="882">
      <c r="A882" s="29"/>
      <c r="B882" s="24"/>
      <c r="C882" s="17"/>
      <c r="D882" s="17"/>
      <c r="E882" s="17"/>
      <c r="F882" s="17"/>
      <c r="G882" s="17"/>
      <c r="H882" s="17"/>
      <c r="I882" s="17"/>
      <c r="J882" s="17"/>
      <c r="K882" s="17"/>
    </row>
    <row r="883">
      <c r="A883" s="29"/>
      <c r="B883" s="24"/>
      <c r="C883" s="17"/>
      <c r="D883" s="17"/>
      <c r="E883" s="17"/>
      <c r="F883" s="17"/>
      <c r="G883" s="17"/>
      <c r="H883" s="17"/>
      <c r="I883" s="17"/>
      <c r="J883" s="17"/>
      <c r="K883" s="17"/>
    </row>
    <row r="884">
      <c r="A884" s="29"/>
      <c r="B884" s="24"/>
      <c r="C884" s="17"/>
      <c r="D884" s="17"/>
      <c r="E884" s="17"/>
      <c r="F884" s="17"/>
      <c r="G884" s="17"/>
      <c r="H884" s="17"/>
      <c r="I884" s="17"/>
      <c r="J884" s="17"/>
      <c r="K884" s="17"/>
    </row>
    <row r="885">
      <c r="A885" s="29"/>
      <c r="B885" s="24"/>
      <c r="C885" s="17"/>
      <c r="D885" s="17"/>
      <c r="E885" s="17"/>
      <c r="F885" s="17"/>
      <c r="G885" s="17"/>
      <c r="H885" s="17"/>
      <c r="I885" s="17"/>
      <c r="J885" s="17"/>
      <c r="K885" s="17"/>
    </row>
    <row r="886">
      <c r="A886" s="29"/>
      <c r="B886" s="24"/>
      <c r="C886" s="17"/>
      <c r="D886" s="17"/>
      <c r="E886" s="17"/>
      <c r="F886" s="17"/>
      <c r="G886" s="17"/>
      <c r="H886" s="17"/>
      <c r="I886" s="17"/>
      <c r="J886" s="17"/>
      <c r="K886" s="17"/>
    </row>
    <row r="887">
      <c r="A887" s="29"/>
      <c r="B887" s="24"/>
      <c r="C887" s="17"/>
      <c r="D887" s="17"/>
      <c r="E887" s="17"/>
      <c r="F887" s="17"/>
      <c r="G887" s="17"/>
      <c r="H887" s="17"/>
      <c r="I887" s="17"/>
      <c r="J887" s="17"/>
      <c r="K887" s="17"/>
    </row>
    <row r="888">
      <c r="A888" s="29"/>
      <c r="B888" s="24"/>
      <c r="C888" s="17"/>
      <c r="D888" s="17"/>
      <c r="E888" s="17"/>
      <c r="F888" s="17"/>
      <c r="G888" s="17"/>
      <c r="H888" s="17"/>
      <c r="I888" s="17"/>
      <c r="J888" s="17"/>
      <c r="K888" s="17"/>
    </row>
    <row r="889">
      <c r="A889" s="29"/>
      <c r="B889" s="24"/>
      <c r="C889" s="17"/>
      <c r="D889" s="17"/>
      <c r="E889" s="17"/>
      <c r="F889" s="17"/>
      <c r="G889" s="17"/>
      <c r="H889" s="17"/>
      <c r="I889" s="17"/>
      <c r="J889" s="17"/>
      <c r="K889" s="17"/>
    </row>
    <row r="890">
      <c r="A890" s="29"/>
      <c r="B890" s="24"/>
      <c r="C890" s="17"/>
      <c r="D890" s="17"/>
      <c r="E890" s="17"/>
      <c r="F890" s="17"/>
      <c r="G890" s="17"/>
      <c r="H890" s="17"/>
      <c r="I890" s="17"/>
      <c r="J890" s="17"/>
      <c r="K890" s="17"/>
    </row>
    <row r="891">
      <c r="A891" s="29"/>
      <c r="B891" s="24"/>
      <c r="C891" s="17"/>
      <c r="D891" s="17"/>
      <c r="E891" s="17"/>
      <c r="F891" s="17"/>
      <c r="G891" s="17"/>
      <c r="H891" s="17"/>
      <c r="I891" s="17"/>
      <c r="J891" s="17"/>
      <c r="K891" s="17"/>
    </row>
    <row r="892">
      <c r="A892" s="29"/>
      <c r="B892" s="24"/>
      <c r="C892" s="17"/>
      <c r="D892" s="17"/>
      <c r="E892" s="17"/>
      <c r="F892" s="17"/>
      <c r="G892" s="17"/>
      <c r="H892" s="17"/>
      <c r="I892" s="17"/>
      <c r="J892" s="17"/>
      <c r="K892" s="17"/>
    </row>
    <row r="893">
      <c r="A893" s="29"/>
      <c r="B893" s="24"/>
      <c r="C893" s="17"/>
      <c r="D893" s="17"/>
      <c r="E893" s="17"/>
      <c r="F893" s="17"/>
      <c r="G893" s="17"/>
      <c r="H893" s="17"/>
      <c r="I893" s="17"/>
      <c r="J893" s="17"/>
      <c r="K893" s="17"/>
    </row>
    <row r="894">
      <c r="A894" s="29"/>
      <c r="B894" s="24"/>
      <c r="C894" s="17"/>
      <c r="D894" s="17"/>
      <c r="E894" s="17"/>
      <c r="F894" s="17"/>
      <c r="G894" s="17"/>
      <c r="H894" s="17"/>
      <c r="I894" s="17"/>
      <c r="J894" s="17"/>
      <c r="K894" s="17"/>
    </row>
    <row r="895">
      <c r="A895" s="29"/>
      <c r="B895" s="24"/>
      <c r="C895" s="17"/>
      <c r="D895" s="17"/>
      <c r="E895" s="17"/>
      <c r="F895" s="17"/>
      <c r="G895" s="17"/>
      <c r="H895" s="17"/>
      <c r="I895" s="17"/>
      <c r="J895" s="17"/>
      <c r="K895" s="17"/>
    </row>
    <row r="896">
      <c r="A896" s="29"/>
      <c r="B896" s="24"/>
      <c r="C896" s="17"/>
      <c r="D896" s="17"/>
      <c r="E896" s="17"/>
      <c r="F896" s="17"/>
      <c r="G896" s="17"/>
      <c r="H896" s="17"/>
      <c r="I896" s="17"/>
      <c r="J896" s="17"/>
      <c r="K896" s="17"/>
    </row>
    <row r="897">
      <c r="A897" s="29"/>
      <c r="B897" s="24"/>
      <c r="C897" s="17"/>
      <c r="D897" s="17"/>
      <c r="E897" s="17"/>
      <c r="F897" s="17"/>
      <c r="G897" s="17"/>
      <c r="H897" s="17"/>
      <c r="I897" s="17"/>
      <c r="J897" s="17"/>
      <c r="K897" s="17"/>
    </row>
    <row r="898">
      <c r="A898" s="29"/>
      <c r="B898" s="24"/>
      <c r="C898" s="17"/>
      <c r="D898" s="17"/>
      <c r="E898" s="17"/>
      <c r="F898" s="17"/>
      <c r="G898" s="17"/>
      <c r="H898" s="17"/>
      <c r="I898" s="17"/>
      <c r="J898" s="17"/>
      <c r="K898" s="17"/>
    </row>
    <row r="899">
      <c r="A899" s="29"/>
      <c r="B899" s="24"/>
      <c r="C899" s="17"/>
      <c r="D899" s="17"/>
      <c r="E899" s="17"/>
      <c r="F899" s="17"/>
      <c r="G899" s="17"/>
      <c r="H899" s="17"/>
      <c r="I899" s="17"/>
      <c r="J899" s="17"/>
      <c r="K899" s="17"/>
    </row>
    <row r="900">
      <c r="A900" s="29"/>
      <c r="B900" s="24"/>
      <c r="C900" s="17"/>
      <c r="D900" s="17"/>
      <c r="E900" s="17"/>
      <c r="F900" s="17"/>
      <c r="G900" s="17"/>
      <c r="H900" s="17"/>
      <c r="I900" s="17"/>
      <c r="J900" s="17"/>
      <c r="K900" s="17"/>
    </row>
    <row r="901">
      <c r="A901" s="29"/>
      <c r="B901" s="24"/>
      <c r="C901" s="17"/>
      <c r="D901" s="17"/>
      <c r="E901" s="17"/>
      <c r="F901" s="17"/>
      <c r="G901" s="17"/>
      <c r="H901" s="17"/>
      <c r="I901" s="17"/>
      <c r="J901" s="17"/>
      <c r="K901" s="17"/>
    </row>
    <row r="902">
      <c r="A902" s="29"/>
      <c r="B902" s="24"/>
      <c r="C902" s="17"/>
      <c r="D902" s="17"/>
      <c r="E902" s="17"/>
      <c r="F902" s="17"/>
      <c r="G902" s="17"/>
      <c r="H902" s="17"/>
      <c r="I902" s="17"/>
      <c r="J902" s="17"/>
      <c r="K902" s="17"/>
    </row>
    <row r="903">
      <c r="A903" s="29"/>
      <c r="B903" s="24"/>
      <c r="C903" s="17"/>
      <c r="D903" s="17"/>
      <c r="E903" s="17"/>
      <c r="F903" s="17"/>
      <c r="G903" s="17"/>
      <c r="H903" s="17"/>
      <c r="I903" s="17"/>
      <c r="J903" s="17"/>
      <c r="K903" s="17"/>
    </row>
    <row r="904">
      <c r="A904" s="29"/>
      <c r="B904" s="24"/>
      <c r="C904" s="17"/>
      <c r="D904" s="17"/>
      <c r="E904" s="17"/>
      <c r="F904" s="17"/>
      <c r="G904" s="17"/>
      <c r="H904" s="17"/>
      <c r="I904" s="17"/>
      <c r="J904" s="17"/>
      <c r="K904" s="17"/>
    </row>
    <row r="905">
      <c r="A905" s="29"/>
      <c r="B905" s="24"/>
      <c r="C905" s="17"/>
      <c r="D905" s="17"/>
      <c r="E905" s="17"/>
      <c r="F905" s="17"/>
      <c r="G905" s="17"/>
      <c r="H905" s="17"/>
      <c r="I905" s="17"/>
      <c r="J905" s="17"/>
      <c r="K905" s="17"/>
    </row>
    <row r="906">
      <c r="A906" s="29"/>
      <c r="B906" s="24"/>
      <c r="C906" s="17"/>
      <c r="D906" s="17"/>
      <c r="E906" s="17"/>
      <c r="F906" s="17"/>
      <c r="G906" s="17"/>
      <c r="H906" s="17"/>
      <c r="I906" s="17"/>
      <c r="J906" s="17"/>
      <c r="K906" s="17"/>
    </row>
    <row r="907">
      <c r="A907" s="29"/>
      <c r="B907" s="24"/>
      <c r="C907" s="17"/>
      <c r="D907" s="17"/>
      <c r="E907" s="17"/>
      <c r="F907" s="17"/>
      <c r="G907" s="17"/>
      <c r="H907" s="17"/>
      <c r="I907" s="17"/>
      <c r="J907" s="17"/>
      <c r="K907" s="17"/>
    </row>
    <row r="908">
      <c r="A908" s="29"/>
      <c r="B908" s="24"/>
      <c r="C908" s="17"/>
      <c r="D908" s="17"/>
      <c r="E908" s="17"/>
      <c r="F908" s="17"/>
      <c r="G908" s="17"/>
      <c r="H908" s="17"/>
      <c r="I908" s="17"/>
      <c r="J908" s="17"/>
      <c r="K908" s="17"/>
    </row>
    <row r="909">
      <c r="A909" s="29"/>
      <c r="B909" s="24"/>
      <c r="C909" s="17"/>
      <c r="D909" s="17"/>
      <c r="E909" s="17"/>
      <c r="F909" s="17"/>
      <c r="G909" s="17"/>
      <c r="H909" s="17"/>
      <c r="I909" s="17"/>
      <c r="J909" s="17"/>
      <c r="K909" s="17"/>
    </row>
    <row r="910">
      <c r="A910" s="29"/>
      <c r="B910" s="24"/>
      <c r="C910" s="17"/>
      <c r="D910" s="17"/>
      <c r="E910" s="17"/>
      <c r="F910" s="17"/>
      <c r="G910" s="17"/>
      <c r="H910" s="17"/>
      <c r="I910" s="17"/>
      <c r="J910" s="17"/>
      <c r="K910" s="17"/>
    </row>
    <row r="911">
      <c r="A911" s="29"/>
      <c r="B911" s="24"/>
      <c r="C911" s="17"/>
      <c r="D911" s="17"/>
      <c r="E911" s="17"/>
      <c r="F911" s="17"/>
      <c r="G911" s="17"/>
      <c r="H911" s="17"/>
      <c r="I911" s="17"/>
      <c r="J911" s="17"/>
      <c r="K911" s="17"/>
    </row>
    <row r="912">
      <c r="A912" s="29"/>
      <c r="B912" s="24"/>
      <c r="C912" s="17"/>
      <c r="D912" s="17"/>
      <c r="E912" s="17"/>
      <c r="F912" s="17"/>
      <c r="G912" s="17"/>
      <c r="H912" s="17"/>
      <c r="I912" s="17"/>
      <c r="J912" s="17"/>
      <c r="K912" s="17"/>
    </row>
    <row r="913">
      <c r="A913" s="29"/>
      <c r="B913" s="24"/>
      <c r="C913" s="17"/>
      <c r="D913" s="17"/>
      <c r="E913" s="17"/>
      <c r="F913" s="17"/>
      <c r="G913" s="17"/>
      <c r="H913" s="17"/>
      <c r="I913" s="17"/>
      <c r="J913" s="17"/>
      <c r="K913" s="17"/>
    </row>
    <row r="914">
      <c r="A914" s="29"/>
      <c r="B914" s="24"/>
      <c r="C914" s="17"/>
      <c r="D914" s="17"/>
      <c r="E914" s="17"/>
      <c r="F914" s="17"/>
      <c r="G914" s="17"/>
      <c r="H914" s="17"/>
      <c r="I914" s="17"/>
      <c r="J914" s="17"/>
      <c r="K914" s="17"/>
    </row>
    <row r="915">
      <c r="A915" s="29"/>
      <c r="B915" s="24"/>
      <c r="C915" s="17"/>
      <c r="D915" s="17"/>
      <c r="E915" s="17"/>
      <c r="F915" s="17"/>
      <c r="G915" s="17"/>
      <c r="H915" s="17"/>
      <c r="I915" s="17"/>
      <c r="J915" s="17"/>
      <c r="K915" s="17"/>
    </row>
    <row r="916">
      <c r="A916" s="29"/>
      <c r="B916" s="24"/>
      <c r="C916" s="17"/>
      <c r="D916" s="17"/>
      <c r="E916" s="17"/>
      <c r="F916" s="17"/>
      <c r="G916" s="17"/>
      <c r="H916" s="17"/>
      <c r="I916" s="17"/>
      <c r="J916" s="17"/>
      <c r="K916" s="17"/>
    </row>
    <row r="917">
      <c r="A917" s="29"/>
      <c r="B917" s="24"/>
      <c r="C917" s="17"/>
      <c r="D917" s="17"/>
      <c r="E917" s="17"/>
      <c r="F917" s="17"/>
      <c r="G917" s="17"/>
      <c r="H917" s="17"/>
      <c r="I917" s="17"/>
      <c r="J917" s="17"/>
      <c r="K917" s="17"/>
    </row>
    <row r="918">
      <c r="A918" s="29"/>
      <c r="B918" s="24"/>
      <c r="C918" s="17"/>
      <c r="D918" s="17"/>
      <c r="E918" s="17"/>
      <c r="F918" s="17"/>
      <c r="G918" s="17"/>
      <c r="H918" s="17"/>
      <c r="I918" s="17"/>
      <c r="J918" s="17"/>
      <c r="K918" s="17"/>
    </row>
    <row r="919">
      <c r="A919" s="29"/>
      <c r="B919" s="24"/>
      <c r="C919" s="17"/>
      <c r="D919" s="17"/>
      <c r="E919" s="17"/>
      <c r="F919" s="17"/>
      <c r="G919" s="17"/>
      <c r="H919" s="17"/>
      <c r="I919" s="17"/>
      <c r="J919" s="17"/>
      <c r="K919" s="17"/>
    </row>
    <row r="920">
      <c r="A920" s="29"/>
      <c r="B920" s="24"/>
      <c r="C920" s="17"/>
      <c r="D920" s="17"/>
      <c r="E920" s="17"/>
      <c r="F920" s="17"/>
      <c r="G920" s="17"/>
      <c r="H920" s="17"/>
      <c r="I920" s="17"/>
      <c r="J920" s="17"/>
      <c r="K920" s="17"/>
    </row>
    <row r="921">
      <c r="A921" s="29"/>
      <c r="B921" s="24"/>
      <c r="C921" s="17"/>
      <c r="D921" s="17"/>
      <c r="E921" s="17"/>
      <c r="F921" s="17"/>
      <c r="G921" s="17"/>
      <c r="H921" s="17"/>
      <c r="I921" s="17"/>
      <c r="J921" s="17"/>
      <c r="K921" s="17"/>
    </row>
    <row r="922">
      <c r="A922" s="29"/>
      <c r="B922" s="24"/>
      <c r="C922" s="17"/>
      <c r="D922" s="17"/>
      <c r="E922" s="17"/>
      <c r="F922" s="17"/>
      <c r="G922" s="17"/>
      <c r="H922" s="17"/>
      <c r="I922" s="17"/>
      <c r="J922" s="17"/>
      <c r="K922" s="17"/>
    </row>
    <row r="923">
      <c r="A923" s="29"/>
      <c r="B923" s="24"/>
      <c r="C923" s="17"/>
      <c r="D923" s="17"/>
      <c r="E923" s="17"/>
      <c r="F923" s="17"/>
      <c r="G923" s="17"/>
      <c r="H923" s="17"/>
      <c r="I923" s="17"/>
      <c r="J923" s="17"/>
      <c r="K923" s="17"/>
    </row>
    <row r="924">
      <c r="A924" s="29"/>
      <c r="B924" s="24"/>
      <c r="C924" s="17"/>
      <c r="D924" s="17"/>
      <c r="E924" s="17"/>
      <c r="F924" s="17"/>
      <c r="G924" s="17"/>
      <c r="H924" s="17"/>
      <c r="I924" s="17"/>
      <c r="J924" s="17"/>
      <c r="K924" s="17"/>
    </row>
    <row r="925">
      <c r="A925" s="29"/>
      <c r="B925" s="24"/>
      <c r="C925" s="17"/>
      <c r="D925" s="17"/>
      <c r="E925" s="17"/>
      <c r="F925" s="17"/>
      <c r="G925" s="17"/>
      <c r="H925" s="17"/>
      <c r="I925" s="17"/>
      <c r="J925" s="17"/>
      <c r="K925" s="17"/>
    </row>
    <row r="926">
      <c r="A926" s="29"/>
      <c r="B926" s="24"/>
      <c r="C926" s="17"/>
      <c r="D926" s="17"/>
      <c r="E926" s="17"/>
      <c r="F926" s="17"/>
      <c r="G926" s="17"/>
      <c r="H926" s="17"/>
      <c r="I926" s="17"/>
      <c r="J926" s="17"/>
      <c r="K926" s="17"/>
    </row>
    <row r="927">
      <c r="A927" s="29"/>
      <c r="B927" s="24"/>
      <c r="C927" s="17"/>
      <c r="D927" s="17"/>
      <c r="E927" s="17"/>
      <c r="F927" s="17"/>
      <c r="G927" s="17"/>
      <c r="H927" s="17"/>
      <c r="I927" s="17"/>
      <c r="J927" s="17"/>
      <c r="K927" s="17"/>
    </row>
    <row r="928">
      <c r="A928" s="29"/>
      <c r="B928" s="24"/>
      <c r="C928" s="17"/>
      <c r="D928" s="17"/>
      <c r="E928" s="17"/>
      <c r="F928" s="17"/>
      <c r="G928" s="17"/>
      <c r="H928" s="17"/>
      <c r="I928" s="17"/>
      <c r="J928" s="17"/>
      <c r="K928" s="17"/>
    </row>
    <row r="929">
      <c r="A929" s="29"/>
      <c r="B929" s="24"/>
      <c r="C929" s="17"/>
      <c r="D929" s="17"/>
      <c r="E929" s="17"/>
      <c r="F929" s="17"/>
      <c r="G929" s="17"/>
      <c r="H929" s="17"/>
      <c r="I929" s="17"/>
      <c r="J929" s="17"/>
      <c r="K929" s="17"/>
    </row>
    <row r="930">
      <c r="A930" s="29"/>
      <c r="B930" s="24"/>
      <c r="C930" s="17"/>
      <c r="D930" s="17"/>
      <c r="E930" s="17"/>
      <c r="F930" s="17"/>
      <c r="G930" s="17"/>
      <c r="H930" s="17"/>
      <c r="I930" s="17"/>
      <c r="J930" s="17"/>
      <c r="K930" s="17"/>
    </row>
    <row r="931">
      <c r="A931" s="29"/>
      <c r="B931" s="24"/>
      <c r="C931" s="17"/>
      <c r="D931" s="17"/>
      <c r="E931" s="17"/>
      <c r="F931" s="17"/>
      <c r="G931" s="17"/>
      <c r="H931" s="17"/>
      <c r="I931" s="17"/>
      <c r="J931" s="17"/>
      <c r="K931" s="17"/>
    </row>
    <row r="932">
      <c r="A932" s="29"/>
      <c r="B932" s="24"/>
      <c r="C932" s="17"/>
      <c r="D932" s="17"/>
      <c r="E932" s="17"/>
      <c r="F932" s="17"/>
      <c r="G932" s="17"/>
      <c r="H932" s="17"/>
      <c r="I932" s="17"/>
      <c r="J932" s="17"/>
      <c r="K932" s="17"/>
    </row>
    <row r="933">
      <c r="A933" s="29"/>
      <c r="B933" s="24"/>
      <c r="C933" s="17"/>
      <c r="D933" s="17"/>
      <c r="E933" s="17"/>
      <c r="F933" s="17"/>
      <c r="G933" s="17"/>
      <c r="H933" s="17"/>
      <c r="I933" s="17"/>
      <c r="J933" s="17"/>
      <c r="K933" s="17"/>
    </row>
    <row r="934">
      <c r="A934" s="29"/>
      <c r="B934" s="24"/>
      <c r="C934" s="17"/>
      <c r="D934" s="17"/>
      <c r="E934" s="17"/>
      <c r="F934" s="17"/>
      <c r="G934" s="17"/>
      <c r="H934" s="17"/>
      <c r="I934" s="17"/>
      <c r="J934" s="17"/>
      <c r="K934" s="17"/>
    </row>
    <row r="935">
      <c r="A935" s="29"/>
      <c r="B935" s="24"/>
      <c r="C935" s="17"/>
      <c r="D935" s="17"/>
      <c r="E935" s="17"/>
      <c r="F935" s="17"/>
      <c r="G935" s="17"/>
      <c r="H935" s="17"/>
      <c r="I935" s="17"/>
      <c r="J935" s="17"/>
      <c r="K935" s="17"/>
    </row>
    <row r="936">
      <c r="A936" s="29"/>
      <c r="B936" s="24"/>
      <c r="C936" s="17"/>
      <c r="D936" s="17"/>
      <c r="E936" s="17"/>
      <c r="F936" s="17"/>
      <c r="G936" s="17"/>
      <c r="H936" s="17"/>
      <c r="I936" s="17"/>
      <c r="J936" s="17"/>
      <c r="K936" s="17"/>
    </row>
    <row r="937">
      <c r="A937" s="29"/>
      <c r="B937" s="24"/>
      <c r="C937" s="17"/>
      <c r="D937" s="17"/>
      <c r="E937" s="17"/>
      <c r="F937" s="17"/>
      <c r="G937" s="17"/>
      <c r="H937" s="17"/>
      <c r="I937" s="17"/>
      <c r="J937" s="17"/>
      <c r="K937" s="17"/>
    </row>
    <row r="938">
      <c r="A938" s="29"/>
      <c r="B938" s="24"/>
      <c r="C938" s="17"/>
      <c r="D938" s="17"/>
      <c r="E938" s="17"/>
      <c r="F938" s="17"/>
      <c r="G938" s="17"/>
      <c r="H938" s="17"/>
      <c r="I938" s="17"/>
      <c r="J938" s="17"/>
      <c r="K938" s="17"/>
    </row>
    <row r="939">
      <c r="A939" s="29"/>
      <c r="B939" s="24"/>
      <c r="C939" s="17"/>
      <c r="D939" s="17"/>
      <c r="E939" s="17"/>
      <c r="F939" s="17"/>
      <c r="G939" s="17"/>
      <c r="H939" s="17"/>
      <c r="I939" s="17"/>
      <c r="J939" s="17"/>
      <c r="K939" s="17"/>
    </row>
    <row r="940">
      <c r="A940" s="29"/>
      <c r="B940" s="24"/>
      <c r="C940" s="17"/>
      <c r="D940" s="17"/>
      <c r="E940" s="17"/>
      <c r="F940" s="17"/>
      <c r="G940" s="17"/>
      <c r="H940" s="17"/>
      <c r="I940" s="17"/>
      <c r="J940" s="17"/>
      <c r="K940" s="17"/>
    </row>
    <row r="941">
      <c r="A941" s="29"/>
      <c r="B941" s="24"/>
      <c r="C941" s="17"/>
      <c r="D941" s="17"/>
      <c r="E941" s="17"/>
      <c r="F941" s="17"/>
      <c r="G941" s="17"/>
      <c r="H941" s="17"/>
      <c r="I941" s="17"/>
      <c r="J941" s="17"/>
      <c r="K941" s="17"/>
    </row>
    <row r="942">
      <c r="A942" s="29"/>
      <c r="B942" s="24"/>
      <c r="C942" s="17"/>
      <c r="D942" s="17"/>
      <c r="E942" s="17"/>
      <c r="F942" s="17"/>
      <c r="G942" s="17"/>
      <c r="H942" s="17"/>
      <c r="I942" s="17"/>
      <c r="J942" s="17"/>
      <c r="K942" s="17"/>
    </row>
    <row r="943">
      <c r="A943" s="29"/>
      <c r="B943" s="24"/>
      <c r="C943" s="17"/>
      <c r="D943" s="17"/>
      <c r="E943" s="17"/>
      <c r="F943" s="17"/>
      <c r="G943" s="17"/>
      <c r="H943" s="17"/>
      <c r="I943" s="17"/>
      <c r="J943" s="17"/>
      <c r="K943" s="17"/>
    </row>
    <row r="944">
      <c r="A944" s="29"/>
      <c r="B944" s="24"/>
      <c r="C944" s="17"/>
      <c r="D944" s="17"/>
      <c r="E944" s="17"/>
      <c r="F944" s="17"/>
      <c r="G944" s="17"/>
      <c r="H944" s="17"/>
      <c r="I944" s="17"/>
      <c r="J944" s="17"/>
      <c r="K944" s="17"/>
    </row>
    <row r="945">
      <c r="A945" s="29"/>
      <c r="B945" s="24"/>
      <c r="C945" s="17"/>
      <c r="D945" s="17"/>
      <c r="E945" s="17"/>
      <c r="F945" s="17"/>
      <c r="G945" s="17"/>
      <c r="H945" s="17"/>
      <c r="I945" s="17"/>
      <c r="J945" s="17"/>
      <c r="K945" s="17"/>
    </row>
    <row r="946">
      <c r="A946" s="29"/>
      <c r="B946" s="24"/>
      <c r="C946" s="17"/>
      <c r="D946" s="17"/>
      <c r="E946" s="17"/>
      <c r="F946" s="17"/>
      <c r="G946" s="17"/>
      <c r="H946" s="17"/>
      <c r="I946" s="17"/>
      <c r="J946" s="17"/>
      <c r="K946" s="17"/>
    </row>
    <row r="947">
      <c r="A947" s="29"/>
      <c r="B947" s="24"/>
      <c r="C947" s="17"/>
      <c r="D947" s="17"/>
      <c r="E947" s="17"/>
      <c r="F947" s="17"/>
      <c r="G947" s="17"/>
      <c r="H947" s="17"/>
      <c r="I947" s="17"/>
      <c r="J947" s="17"/>
      <c r="K947" s="17"/>
    </row>
    <row r="948">
      <c r="A948" s="29"/>
      <c r="B948" s="24"/>
      <c r="C948" s="17"/>
      <c r="D948" s="17"/>
      <c r="E948" s="17"/>
      <c r="F948" s="17"/>
      <c r="G948" s="17"/>
      <c r="H948" s="17"/>
      <c r="I948" s="17"/>
      <c r="J948" s="17"/>
      <c r="K948" s="17"/>
    </row>
    <row r="949">
      <c r="A949" s="29"/>
      <c r="B949" s="24"/>
      <c r="C949" s="17"/>
      <c r="D949" s="17"/>
      <c r="E949" s="17"/>
      <c r="F949" s="17"/>
      <c r="G949" s="17"/>
      <c r="H949" s="17"/>
      <c r="I949" s="17"/>
      <c r="J949" s="17"/>
      <c r="K949" s="17"/>
    </row>
    <row r="950">
      <c r="A950" s="29"/>
      <c r="B950" s="24"/>
      <c r="C950" s="17"/>
      <c r="D950" s="17"/>
      <c r="E950" s="17"/>
      <c r="F950" s="17"/>
      <c r="G950" s="17"/>
      <c r="H950" s="17"/>
      <c r="I950" s="17"/>
      <c r="J950" s="17"/>
      <c r="K950" s="17"/>
    </row>
    <row r="951">
      <c r="A951" s="29"/>
      <c r="B951" s="24"/>
      <c r="C951" s="17"/>
      <c r="D951" s="17"/>
      <c r="E951" s="17"/>
      <c r="F951" s="17"/>
      <c r="G951" s="17"/>
      <c r="H951" s="17"/>
      <c r="I951" s="17"/>
      <c r="J951" s="17"/>
      <c r="K951" s="17"/>
    </row>
    <row r="952">
      <c r="A952" s="29"/>
      <c r="B952" s="24"/>
      <c r="C952" s="17"/>
      <c r="D952" s="17"/>
      <c r="E952" s="17"/>
      <c r="F952" s="17"/>
      <c r="G952" s="17"/>
      <c r="H952" s="17"/>
      <c r="I952" s="17"/>
      <c r="J952" s="17"/>
      <c r="K952" s="17"/>
    </row>
    <row r="953">
      <c r="A953" s="29"/>
      <c r="B953" s="24"/>
      <c r="C953" s="17"/>
      <c r="D953" s="17"/>
      <c r="E953" s="17"/>
      <c r="F953" s="17"/>
      <c r="G953" s="17"/>
      <c r="H953" s="17"/>
      <c r="I953" s="17"/>
      <c r="J953" s="17"/>
      <c r="K953" s="17"/>
    </row>
    <row r="954">
      <c r="A954" s="29"/>
      <c r="B954" s="24"/>
      <c r="C954" s="17"/>
      <c r="D954" s="17"/>
      <c r="E954" s="17"/>
      <c r="F954" s="17"/>
      <c r="G954" s="17"/>
      <c r="H954" s="17"/>
      <c r="I954" s="17"/>
      <c r="J954" s="17"/>
      <c r="K954" s="17"/>
    </row>
    <row r="955">
      <c r="A955" s="29"/>
      <c r="B955" s="24"/>
      <c r="C955" s="17"/>
      <c r="D955" s="17"/>
      <c r="E955" s="17"/>
      <c r="F955" s="17"/>
      <c r="G955" s="17"/>
      <c r="H955" s="17"/>
      <c r="I955" s="17"/>
      <c r="J955" s="17"/>
      <c r="K955" s="17"/>
    </row>
    <row r="956">
      <c r="A956" s="29"/>
      <c r="B956" s="24"/>
      <c r="C956" s="17"/>
      <c r="D956" s="17"/>
      <c r="E956" s="17"/>
      <c r="F956" s="17"/>
      <c r="G956" s="17"/>
      <c r="H956" s="17"/>
      <c r="I956" s="17"/>
      <c r="J956" s="17"/>
      <c r="K956" s="17"/>
    </row>
    <row r="957">
      <c r="A957" s="29"/>
      <c r="B957" s="24"/>
      <c r="C957" s="17"/>
      <c r="D957" s="17"/>
      <c r="E957" s="17"/>
      <c r="F957" s="17"/>
      <c r="G957" s="17"/>
      <c r="H957" s="17"/>
      <c r="I957" s="17"/>
      <c r="J957" s="17"/>
      <c r="K957" s="17"/>
    </row>
    <row r="958">
      <c r="A958" s="29"/>
      <c r="B958" s="24"/>
      <c r="C958" s="17"/>
      <c r="D958" s="17"/>
      <c r="E958" s="17"/>
      <c r="F958" s="17"/>
      <c r="G958" s="17"/>
      <c r="H958" s="17"/>
      <c r="I958" s="17"/>
      <c r="J958" s="17"/>
      <c r="K958" s="17"/>
    </row>
    <row r="959">
      <c r="A959" s="29"/>
      <c r="B959" s="24"/>
      <c r="C959" s="17"/>
      <c r="D959" s="17"/>
      <c r="E959" s="17"/>
      <c r="F959" s="17"/>
      <c r="G959" s="17"/>
      <c r="H959" s="17"/>
      <c r="I959" s="17"/>
      <c r="J959" s="17"/>
      <c r="K959" s="17"/>
    </row>
    <row r="960">
      <c r="A960" s="29"/>
      <c r="B960" s="24"/>
      <c r="C960" s="17"/>
      <c r="D960" s="17"/>
      <c r="E960" s="17"/>
      <c r="F960" s="17"/>
      <c r="G960" s="17"/>
      <c r="H960" s="17"/>
      <c r="I960" s="17"/>
      <c r="J960" s="17"/>
      <c r="K960" s="17"/>
    </row>
    <row r="961">
      <c r="A961" s="29"/>
      <c r="B961" s="24"/>
      <c r="C961" s="17"/>
      <c r="D961" s="17"/>
      <c r="E961" s="17"/>
      <c r="F961" s="17"/>
      <c r="G961" s="17"/>
      <c r="H961" s="17"/>
      <c r="I961" s="17"/>
      <c r="J961" s="17"/>
      <c r="K961" s="17"/>
    </row>
    <row r="962">
      <c r="A962" s="29"/>
      <c r="B962" s="24"/>
      <c r="C962" s="17"/>
      <c r="D962" s="17"/>
      <c r="E962" s="17"/>
      <c r="F962" s="17"/>
      <c r="G962" s="17"/>
      <c r="H962" s="17"/>
      <c r="I962" s="17"/>
      <c r="J962" s="17"/>
      <c r="K962" s="17"/>
    </row>
    <row r="963">
      <c r="A963" s="29"/>
      <c r="B963" s="24"/>
      <c r="C963" s="17"/>
      <c r="D963" s="17"/>
      <c r="E963" s="17"/>
      <c r="F963" s="17"/>
      <c r="G963" s="17"/>
      <c r="H963" s="17"/>
      <c r="I963" s="17"/>
      <c r="J963" s="17"/>
      <c r="K963" s="17"/>
    </row>
    <row r="964">
      <c r="A964" s="29"/>
      <c r="B964" s="24"/>
      <c r="C964" s="17"/>
      <c r="D964" s="17"/>
      <c r="E964" s="17"/>
      <c r="F964" s="17"/>
      <c r="G964" s="17"/>
      <c r="H964" s="17"/>
      <c r="I964" s="17"/>
      <c r="J964" s="17"/>
      <c r="K964" s="17"/>
    </row>
    <row r="965">
      <c r="A965" s="29"/>
      <c r="B965" s="24"/>
      <c r="C965" s="17"/>
      <c r="D965" s="17"/>
      <c r="E965" s="17"/>
      <c r="F965" s="17"/>
      <c r="G965" s="17"/>
      <c r="H965" s="17"/>
      <c r="I965" s="17"/>
      <c r="J965" s="17"/>
      <c r="K965" s="17"/>
    </row>
    <row r="966">
      <c r="A966" s="29"/>
      <c r="B966" s="24"/>
      <c r="C966" s="17"/>
      <c r="D966" s="17"/>
      <c r="E966" s="17"/>
      <c r="F966" s="17"/>
      <c r="G966" s="17"/>
      <c r="H966" s="17"/>
      <c r="I966" s="17"/>
      <c r="J966" s="17"/>
      <c r="K966" s="17"/>
    </row>
    <row r="967">
      <c r="A967" s="29"/>
      <c r="B967" s="24"/>
      <c r="C967" s="17"/>
      <c r="D967" s="17"/>
      <c r="E967" s="17"/>
      <c r="F967" s="17"/>
      <c r="G967" s="17"/>
      <c r="H967" s="17"/>
      <c r="I967" s="17"/>
      <c r="J967" s="17"/>
      <c r="K967" s="17"/>
    </row>
    <row r="968">
      <c r="A968" s="29"/>
      <c r="B968" s="24"/>
      <c r="C968" s="17"/>
      <c r="D968" s="17"/>
      <c r="E968" s="17"/>
      <c r="F968" s="17"/>
      <c r="G968" s="17"/>
      <c r="H968" s="17"/>
      <c r="I968" s="17"/>
      <c r="J968" s="17"/>
      <c r="K968" s="17"/>
    </row>
    <row r="969">
      <c r="A969" s="29"/>
      <c r="B969" s="24"/>
      <c r="C969" s="17"/>
      <c r="D969" s="17"/>
      <c r="E969" s="17"/>
      <c r="F969" s="17"/>
      <c r="G969" s="17"/>
      <c r="H969" s="17"/>
      <c r="I969" s="17"/>
      <c r="J969" s="17"/>
      <c r="K969" s="17"/>
    </row>
    <row r="970">
      <c r="A970" s="29"/>
      <c r="B970" s="24"/>
      <c r="C970" s="17"/>
      <c r="D970" s="17"/>
      <c r="E970" s="17"/>
      <c r="F970" s="17"/>
      <c r="G970" s="17"/>
      <c r="H970" s="17"/>
      <c r="I970" s="17"/>
      <c r="J970" s="17"/>
      <c r="K970" s="17"/>
    </row>
    <row r="971">
      <c r="A971" s="29"/>
      <c r="B971" s="24"/>
      <c r="C971" s="17"/>
      <c r="D971" s="17"/>
      <c r="E971" s="17"/>
      <c r="F971" s="17"/>
      <c r="G971" s="17"/>
      <c r="H971" s="17"/>
      <c r="I971" s="17"/>
      <c r="J971" s="17"/>
      <c r="K971" s="17"/>
    </row>
    <row r="972">
      <c r="A972" s="29"/>
      <c r="B972" s="24"/>
      <c r="C972" s="17"/>
      <c r="D972" s="17"/>
      <c r="E972" s="17"/>
      <c r="F972" s="17"/>
      <c r="G972" s="17"/>
      <c r="H972" s="17"/>
      <c r="I972" s="17"/>
      <c r="J972" s="17"/>
      <c r="K972" s="17"/>
    </row>
    <row r="973">
      <c r="A973" s="29"/>
      <c r="B973" s="24"/>
      <c r="C973" s="17"/>
      <c r="D973" s="17"/>
      <c r="E973" s="17"/>
      <c r="F973" s="17"/>
      <c r="G973" s="17"/>
      <c r="H973" s="17"/>
      <c r="I973" s="17"/>
      <c r="J973" s="17"/>
      <c r="K973" s="17"/>
    </row>
    <row r="974">
      <c r="A974" s="29"/>
      <c r="B974" s="24"/>
      <c r="C974" s="17"/>
      <c r="D974" s="17"/>
      <c r="E974" s="17"/>
      <c r="F974" s="17"/>
      <c r="G974" s="17"/>
      <c r="H974" s="17"/>
      <c r="I974" s="17"/>
      <c r="J974" s="17"/>
      <c r="K974" s="17"/>
    </row>
    <row r="975">
      <c r="A975" s="29"/>
      <c r="B975" s="24"/>
      <c r="C975" s="17"/>
      <c r="D975" s="17"/>
      <c r="E975" s="17"/>
      <c r="F975" s="17"/>
      <c r="G975" s="17"/>
      <c r="H975" s="17"/>
      <c r="I975" s="17"/>
      <c r="J975" s="17"/>
      <c r="K975" s="17"/>
    </row>
    <row r="976">
      <c r="A976" s="29"/>
      <c r="B976" s="24"/>
      <c r="C976" s="17"/>
      <c r="D976" s="17"/>
      <c r="E976" s="17"/>
      <c r="F976" s="17"/>
      <c r="G976" s="17"/>
      <c r="H976" s="17"/>
      <c r="I976" s="17"/>
      <c r="J976" s="17"/>
      <c r="K976" s="17"/>
    </row>
    <row r="977">
      <c r="A977" s="29"/>
      <c r="B977" s="24"/>
      <c r="C977" s="17"/>
      <c r="D977" s="17"/>
      <c r="E977" s="17"/>
      <c r="F977" s="17"/>
      <c r="G977" s="17"/>
      <c r="H977" s="17"/>
      <c r="I977" s="17"/>
      <c r="J977" s="17"/>
      <c r="K977" s="17"/>
    </row>
    <row r="978">
      <c r="A978" s="29"/>
      <c r="B978" s="24"/>
      <c r="C978" s="17"/>
      <c r="D978" s="17"/>
      <c r="E978" s="17"/>
      <c r="F978" s="17"/>
      <c r="G978" s="17"/>
      <c r="H978" s="17"/>
      <c r="I978" s="17"/>
      <c r="J978" s="17"/>
      <c r="K978" s="17"/>
    </row>
    <row r="979">
      <c r="A979" s="29"/>
      <c r="B979" s="24"/>
      <c r="C979" s="17"/>
      <c r="D979" s="17"/>
      <c r="E979" s="17"/>
      <c r="F979" s="17"/>
      <c r="G979" s="17"/>
      <c r="H979" s="17"/>
      <c r="I979" s="17"/>
      <c r="J979" s="17"/>
      <c r="K979" s="17"/>
    </row>
    <row r="980">
      <c r="A980" s="29"/>
      <c r="B980" s="24"/>
      <c r="C980" s="17"/>
      <c r="D980" s="17"/>
      <c r="E980" s="17"/>
      <c r="F980" s="17"/>
      <c r="G980" s="17"/>
      <c r="H980" s="17"/>
      <c r="I980" s="17"/>
      <c r="J980" s="17"/>
      <c r="K980" s="17"/>
    </row>
    <row r="981">
      <c r="A981" s="29"/>
      <c r="B981" s="24"/>
      <c r="C981" s="17"/>
      <c r="D981" s="17"/>
      <c r="E981" s="17"/>
      <c r="F981" s="17"/>
      <c r="G981" s="17"/>
      <c r="H981" s="17"/>
      <c r="I981" s="17"/>
      <c r="J981" s="17"/>
      <c r="K981" s="17"/>
    </row>
    <row r="982">
      <c r="A982" s="29"/>
      <c r="B982" s="24"/>
      <c r="C982" s="17"/>
      <c r="D982" s="17"/>
      <c r="E982" s="17"/>
      <c r="F982" s="17"/>
      <c r="G982" s="17"/>
      <c r="H982" s="17"/>
      <c r="I982" s="17"/>
      <c r="J982" s="17"/>
      <c r="K982" s="17"/>
    </row>
    <row r="983">
      <c r="A983" s="29"/>
      <c r="B983" s="24"/>
      <c r="C983" s="17"/>
      <c r="D983" s="17"/>
      <c r="E983" s="17"/>
      <c r="F983" s="17"/>
      <c r="G983" s="17"/>
      <c r="H983" s="17"/>
      <c r="I983" s="17"/>
      <c r="J983" s="17"/>
      <c r="K983" s="17"/>
    </row>
    <row r="984">
      <c r="A984" s="29"/>
      <c r="B984" s="24"/>
      <c r="C984" s="17"/>
      <c r="D984" s="17"/>
      <c r="E984" s="17"/>
      <c r="F984" s="17"/>
      <c r="G984" s="17"/>
      <c r="H984" s="17"/>
      <c r="I984" s="17"/>
      <c r="J984" s="17"/>
      <c r="K984" s="17"/>
    </row>
    <row r="985">
      <c r="A985" s="29"/>
      <c r="B985" s="24"/>
      <c r="C985" s="17"/>
      <c r="D985" s="17"/>
      <c r="E985" s="17"/>
      <c r="F985" s="17"/>
      <c r="G985" s="17"/>
      <c r="H985" s="17"/>
      <c r="I985" s="17"/>
      <c r="J985" s="17"/>
      <c r="K985" s="17"/>
    </row>
    <row r="986">
      <c r="A986" s="29"/>
      <c r="B986" s="24"/>
      <c r="C986" s="17"/>
      <c r="D986" s="17"/>
      <c r="E986" s="17"/>
      <c r="F986" s="17"/>
      <c r="G986" s="17"/>
      <c r="H986" s="17"/>
      <c r="I986" s="17"/>
      <c r="J986" s="17"/>
      <c r="K986" s="17"/>
    </row>
    <row r="987">
      <c r="A987" s="29"/>
      <c r="B987" s="24"/>
      <c r="C987" s="17"/>
      <c r="D987" s="17"/>
      <c r="E987" s="17"/>
      <c r="F987" s="17"/>
      <c r="G987" s="17"/>
      <c r="H987" s="17"/>
      <c r="I987" s="17"/>
      <c r="J987" s="17"/>
      <c r="K987" s="17"/>
    </row>
    <row r="988">
      <c r="A988" s="29"/>
      <c r="B988" s="24"/>
      <c r="C988" s="17"/>
      <c r="D988" s="17"/>
      <c r="E988" s="17"/>
      <c r="F988" s="17"/>
      <c r="G988" s="17"/>
      <c r="H988" s="17"/>
      <c r="I988" s="17"/>
      <c r="J988" s="17"/>
      <c r="K988" s="17"/>
    </row>
    <row r="989">
      <c r="A989" s="29"/>
      <c r="B989" s="24"/>
      <c r="C989" s="17"/>
      <c r="D989" s="17"/>
      <c r="E989" s="17"/>
      <c r="F989" s="17"/>
      <c r="G989" s="17"/>
      <c r="H989" s="17"/>
      <c r="I989" s="17"/>
      <c r="J989" s="17"/>
      <c r="K989" s="17"/>
    </row>
    <row r="990">
      <c r="A990" s="29"/>
      <c r="B990" s="24"/>
      <c r="C990" s="17"/>
      <c r="D990" s="17"/>
      <c r="E990" s="17"/>
      <c r="F990" s="17"/>
      <c r="G990" s="17"/>
      <c r="H990" s="17"/>
      <c r="I990" s="17"/>
      <c r="J990" s="17"/>
      <c r="K990" s="17"/>
    </row>
    <row r="991">
      <c r="A991" s="29"/>
      <c r="B991" s="24"/>
      <c r="C991" s="17"/>
      <c r="D991" s="17"/>
      <c r="E991" s="17"/>
      <c r="F991" s="17"/>
      <c r="G991" s="17"/>
      <c r="H991" s="17"/>
      <c r="I991" s="17"/>
      <c r="J991" s="17"/>
      <c r="K991" s="17"/>
    </row>
    <row r="992">
      <c r="A992" s="29"/>
      <c r="B992" s="24"/>
      <c r="C992" s="17"/>
      <c r="D992" s="17"/>
      <c r="E992" s="17"/>
      <c r="F992" s="17"/>
      <c r="G992" s="17"/>
      <c r="H992" s="17"/>
      <c r="I992" s="17"/>
      <c r="J992" s="17"/>
      <c r="K992" s="17"/>
    </row>
    <row r="993">
      <c r="A993" s="29"/>
      <c r="B993" s="24"/>
      <c r="C993" s="17"/>
      <c r="D993" s="17"/>
      <c r="E993" s="17"/>
      <c r="F993" s="17"/>
      <c r="G993" s="17"/>
      <c r="H993" s="17"/>
      <c r="I993" s="17"/>
      <c r="J993" s="17"/>
      <c r="K993" s="17"/>
    </row>
    <row r="994">
      <c r="A994" s="29"/>
      <c r="B994" s="24"/>
      <c r="C994" s="17"/>
      <c r="D994" s="17"/>
      <c r="E994" s="17"/>
      <c r="F994" s="17"/>
      <c r="G994" s="17"/>
      <c r="H994" s="17"/>
      <c r="I994" s="17"/>
      <c r="J994" s="17"/>
      <c r="K994" s="17"/>
    </row>
    <row r="995">
      <c r="A995" s="29"/>
      <c r="B995" s="24"/>
      <c r="C995" s="17"/>
      <c r="D995" s="17"/>
      <c r="E995" s="17"/>
      <c r="F995" s="17"/>
      <c r="G995" s="17"/>
      <c r="H995" s="17"/>
      <c r="I995" s="17"/>
      <c r="J995" s="17"/>
      <c r="K995" s="17"/>
    </row>
    <row r="996">
      <c r="A996" s="29"/>
      <c r="B996" s="24"/>
      <c r="C996" s="17"/>
      <c r="D996" s="17"/>
      <c r="E996" s="17"/>
      <c r="F996" s="17"/>
      <c r="G996" s="17"/>
      <c r="H996" s="17"/>
      <c r="I996" s="17"/>
      <c r="J996" s="17"/>
      <c r="K996" s="17"/>
    </row>
    <row r="997">
      <c r="A997" s="29"/>
      <c r="B997" s="24"/>
      <c r="C997" s="17"/>
      <c r="D997" s="17"/>
      <c r="E997" s="17"/>
      <c r="F997" s="17"/>
      <c r="G997" s="17"/>
      <c r="H997" s="17"/>
      <c r="I997" s="17"/>
      <c r="J997" s="17"/>
      <c r="K997" s="17"/>
    </row>
    <row r="998">
      <c r="A998" s="29"/>
      <c r="B998" s="24"/>
      <c r="C998" s="17"/>
      <c r="D998" s="17"/>
      <c r="E998" s="17"/>
      <c r="F998" s="17"/>
      <c r="G998" s="17"/>
      <c r="H998" s="17"/>
      <c r="I998" s="17"/>
      <c r="J998" s="17"/>
      <c r="K998" s="17"/>
    </row>
    <row r="999">
      <c r="A999" s="29"/>
      <c r="B999" s="24"/>
      <c r="C999" s="17"/>
      <c r="D999" s="17"/>
      <c r="E999" s="17"/>
      <c r="F999" s="17"/>
      <c r="G999" s="17"/>
      <c r="H999" s="17"/>
      <c r="I999" s="17"/>
      <c r="J999" s="17"/>
      <c r="K999" s="17"/>
    </row>
    <row r="1000">
      <c r="A1000" s="29"/>
      <c r="B1000" s="24"/>
      <c r="C1000" s="17"/>
      <c r="D1000" s="17"/>
      <c r="E1000" s="17"/>
      <c r="F1000" s="17"/>
      <c r="G1000" s="17"/>
      <c r="H1000" s="17"/>
      <c r="I1000" s="17"/>
      <c r="J1000" s="17"/>
      <c r="K1000" s="17"/>
    </row>
    <row r="1001">
      <c r="A1001" s="29"/>
      <c r="B1001" s="24"/>
      <c r="C1001" s="17"/>
      <c r="D1001" s="17"/>
      <c r="E1001" s="17"/>
      <c r="F1001" s="17"/>
      <c r="G1001" s="17"/>
      <c r="H1001" s="17"/>
      <c r="I1001" s="17"/>
      <c r="J1001" s="17"/>
      <c r="K1001" s="17"/>
    </row>
    <row r="1002">
      <c r="A1002" s="29"/>
      <c r="B1002" s="24"/>
      <c r="C1002" s="17"/>
      <c r="D1002" s="17"/>
      <c r="E1002" s="17"/>
      <c r="F1002" s="17"/>
      <c r="G1002" s="17"/>
      <c r="H1002" s="17"/>
      <c r="I1002" s="17"/>
      <c r="J1002" s="17"/>
      <c r="K1002" s="17"/>
    </row>
    <row r="1003">
      <c r="A1003" s="29"/>
      <c r="B1003" s="24"/>
      <c r="C1003" s="17"/>
      <c r="D1003" s="17"/>
      <c r="E1003" s="17"/>
      <c r="F1003" s="17"/>
      <c r="G1003" s="17"/>
      <c r="H1003" s="17"/>
      <c r="I1003" s="17"/>
      <c r="J1003" s="17"/>
      <c r="K1003" s="17"/>
    </row>
    <row r="1004">
      <c r="A1004" s="29"/>
      <c r="B1004" s="24"/>
      <c r="C1004" s="17"/>
      <c r="D1004" s="17"/>
      <c r="E1004" s="17"/>
      <c r="F1004" s="17"/>
      <c r="G1004" s="17"/>
      <c r="H1004" s="17"/>
      <c r="I1004" s="17"/>
      <c r="J1004" s="17"/>
      <c r="K1004" s="17"/>
    </row>
    <row r="1005">
      <c r="A1005" s="29"/>
      <c r="B1005" s="24"/>
      <c r="C1005" s="17"/>
      <c r="D1005" s="17"/>
      <c r="E1005" s="17"/>
      <c r="F1005" s="17"/>
      <c r="G1005" s="17"/>
      <c r="H1005" s="17"/>
      <c r="I1005" s="17"/>
      <c r="J1005" s="17"/>
      <c r="K1005" s="17"/>
    </row>
    <row r="1006">
      <c r="A1006" s="29"/>
      <c r="B1006" s="24"/>
      <c r="C1006" s="17"/>
      <c r="D1006" s="17"/>
      <c r="E1006" s="17"/>
      <c r="F1006" s="17"/>
      <c r="G1006" s="17"/>
      <c r="H1006" s="17"/>
      <c r="I1006" s="17"/>
      <c r="J1006" s="17"/>
      <c r="K1006" s="17"/>
    </row>
    <row r="1007">
      <c r="A1007" s="29"/>
      <c r="B1007" s="24"/>
      <c r="C1007" s="17"/>
      <c r="D1007" s="17"/>
      <c r="E1007" s="17"/>
      <c r="F1007" s="17"/>
      <c r="G1007" s="17"/>
      <c r="H1007" s="17"/>
      <c r="I1007" s="17"/>
      <c r="J1007" s="17"/>
      <c r="K1007" s="17"/>
    </row>
    <row r="1008">
      <c r="A1008" s="29"/>
      <c r="B1008" s="24"/>
      <c r="C1008" s="17"/>
      <c r="D1008" s="17"/>
      <c r="E1008" s="17"/>
      <c r="F1008" s="17"/>
      <c r="G1008" s="17"/>
      <c r="H1008" s="17"/>
      <c r="I1008" s="17"/>
      <c r="J1008" s="17"/>
      <c r="K1008" s="17"/>
    </row>
    <row r="1009">
      <c r="A1009" s="29"/>
      <c r="B1009" s="24"/>
      <c r="C1009" s="17"/>
      <c r="D1009" s="17"/>
      <c r="E1009" s="17"/>
      <c r="F1009" s="17"/>
      <c r="G1009" s="17"/>
      <c r="H1009" s="17"/>
      <c r="I1009" s="17"/>
      <c r="J1009" s="17"/>
      <c r="K1009" s="17"/>
    </row>
    <row r="1010">
      <c r="A1010" s="29"/>
      <c r="B1010" s="24"/>
      <c r="C1010" s="17"/>
      <c r="D1010" s="17"/>
      <c r="E1010" s="17"/>
      <c r="F1010" s="17"/>
      <c r="G1010" s="17"/>
      <c r="H1010" s="17"/>
      <c r="I1010" s="17"/>
      <c r="J1010" s="17"/>
      <c r="K1010" s="17"/>
    </row>
    <row r="1011">
      <c r="A1011" s="29"/>
      <c r="B1011" s="24"/>
      <c r="C1011" s="17"/>
      <c r="D1011" s="17"/>
      <c r="E1011" s="17"/>
      <c r="F1011" s="17"/>
      <c r="G1011" s="17"/>
      <c r="H1011" s="17"/>
      <c r="I1011" s="17"/>
      <c r="J1011" s="17"/>
      <c r="K1011" s="17"/>
    </row>
    <row r="1012">
      <c r="A1012" s="29"/>
      <c r="B1012" s="24"/>
      <c r="C1012" s="17"/>
      <c r="D1012" s="17"/>
      <c r="E1012" s="17"/>
      <c r="F1012" s="17"/>
      <c r="G1012" s="17"/>
      <c r="H1012" s="17"/>
      <c r="I1012" s="17"/>
      <c r="J1012" s="17"/>
      <c r="K1012" s="17"/>
    </row>
    <row r="1013">
      <c r="A1013" s="29"/>
      <c r="B1013" s="24"/>
      <c r="C1013" s="17"/>
      <c r="D1013" s="17"/>
      <c r="E1013" s="17"/>
      <c r="F1013" s="17"/>
      <c r="G1013" s="17"/>
      <c r="H1013" s="17"/>
      <c r="I1013" s="17"/>
      <c r="J1013" s="17"/>
      <c r="K1013" s="17"/>
    </row>
    <row r="1014">
      <c r="A1014" s="29"/>
      <c r="B1014" s="24"/>
      <c r="C1014" s="17"/>
      <c r="D1014" s="17"/>
      <c r="E1014" s="17"/>
      <c r="F1014" s="17"/>
      <c r="G1014" s="17"/>
      <c r="H1014" s="17"/>
      <c r="I1014" s="17"/>
      <c r="J1014" s="17"/>
      <c r="K1014" s="17"/>
    </row>
    <row r="1015">
      <c r="A1015" s="29"/>
      <c r="B1015" s="24"/>
      <c r="C1015" s="17"/>
      <c r="D1015" s="17"/>
      <c r="E1015" s="17"/>
      <c r="F1015" s="17"/>
      <c r="G1015" s="17"/>
      <c r="H1015" s="17"/>
      <c r="I1015" s="17"/>
      <c r="J1015" s="17"/>
      <c r="K1015" s="17"/>
    </row>
    <row r="1016">
      <c r="A1016" s="29"/>
      <c r="B1016" s="24"/>
      <c r="C1016" s="17"/>
      <c r="D1016" s="17"/>
      <c r="E1016" s="17"/>
      <c r="F1016" s="17"/>
      <c r="G1016" s="17"/>
      <c r="H1016" s="17"/>
      <c r="I1016" s="17"/>
      <c r="J1016" s="17"/>
      <c r="K1016" s="17"/>
    </row>
    <row r="1017">
      <c r="A1017" s="29"/>
      <c r="B1017" s="24"/>
      <c r="C1017" s="17"/>
      <c r="D1017" s="17"/>
      <c r="E1017" s="17"/>
      <c r="F1017" s="17"/>
      <c r="G1017" s="17"/>
      <c r="H1017" s="17"/>
      <c r="I1017" s="17"/>
      <c r="J1017" s="17"/>
      <c r="K1017" s="17"/>
    </row>
    <row r="1018">
      <c r="A1018" s="29"/>
      <c r="B1018" s="24"/>
      <c r="C1018" s="17"/>
      <c r="D1018" s="17"/>
      <c r="E1018" s="17"/>
      <c r="F1018" s="17"/>
      <c r="G1018" s="17"/>
      <c r="H1018" s="17"/>
      <c r="I1018" s="17"/>
      <c r="J1018" s="17"/>
      <c r="K1018" s="17"/>
    </row>
    <row r="1019">
      <c r="A1019" s="29"/>
      <c r="B1019" s="24"/>
      <c r="C1019" s="17"/>
      <c r="D1019" s="17"/>
      <c r="E1019" s="17"/>
      <c r="F1019" s="17"/>
      <c r="G1019" s="17"/>
      <c r="H1019" s="17"/>
      <c r="I1019" s="17"/>
      <c r="J1019" s="17"/>
      <c r="K1019" s="17"/>
    </row>
    <row r="1020">
      <c r="A1020" s="29"/>
      <c r="B1020" s="24"/>
      <c r="C1020" s="17"/>
      <c r="D1020" s="17"/>
      <c r="E1020" s="17"/>
      <c r="F1020" s="17"/>
      <c r="G1020" s="17"/>
      <c r="H1020" s="17"/>
      <c r="I1020" s="17"/>
      <c r="J1020" s="17"/>
      <c r="K1020" s="17"/>
    </row>
    <row r="1021">
      <c r="A1021" s="29"/>
      <c r="B1021" s="24"/>
      <c r="C1021" s="17"/>
      <c r="D1021" s="17"/>
      <c r="E1021" s="17"/>
      <c r="F1021" s="17"/>
      <c r="G1021" s="17"/>
      <c r="H1021" s="17"/>
      <c r="I1021" s="17"/>
      <c r="J1021" s="17"/>
      <c r="K1021" s="17"/>
    </row>
    <row r="1022">
      <c r="A1022" s="29"/>
      <c r="B1022" s="24"/>
      <c r="C1022" s="17"/>
      <c r="D1022" s="17"/>
      <c r="E1022" s="17"/>
      <c r="F1022" s="17"/>
      <c r="G1022" s="17"/>
      <c r="H1022" s="17"/>
      <c r="I1022" s="17"/>
      <c r="J1022" s="17"/>
      <c r="K1022" s="17"/>
    </row>
    <row r="1023">
      <c r="A1023" s="29"/>
      <c r="B1023" s="24"/>
      <c r="C1023" s="17"/>
      <c r="D1023" s="17"/>
      <c r="E1023" s="17"/>
      <c r="F1023" s="17"/>
      <c r="G1023" s="17"/>
      <c r="H1023" s="17"/>
      <c r="I1023" s="17"/>
      <c r="J1023" s="17"/>
      <c r="K1023" s="17"/>
    </row>
    <row r="1024">
      <c r="A1024" s="29"/>
      <c r="B1024" s="24"/>
      <c r="C1024" s="17"/>
      <c r="D1024" s="17"/>
      <c r="E1024" s="17"/>
      <c r="F1024" s="17"/>
      <c r="G1024" s="17"/>
      <c r="H1024" s="17"/>
      <c r="I1024" s="17"/>
      <c r="J1024" s="17"/>
      <c r="K1024" s="17"/>
    </row>
    <row r="1025">
      <c r="A1025" s="29"/>
      <c r="B1025" s="24"/>
      <c r="C1025" s="17"/>
      <c r="D1025" s="17"/>
      <c r="E1025" s="17"/>
      <c r="F1025" s="17"/>
      <c r="G1025" s="17"/>
      <c r="H1025" s="17"/>
      <c r="I1025" s="17"/>
      <c r="J1025" s="17"/>
      <c r="K1025" s="17"/>
    </row>
    <row r="1026">
      <c r="A1026" s="29"/>
      <c r="B1026" s="24"/>
      <c r="C1026" s="17"/>
      <c r="D1026" s="17"/>
      <c r="E1026" s="17"/>
      <c r="F1026" s="17"/>
      <c r="G1026" s="17"/>
      <c r="H1026" s="17"/>
      <c r="I1026" s="17"/>
      <c r="J1026" s="17"/>
      <c r="K1026" s="17"/>
    </row>
    <row r="1027">
      <c r="A1027" s="29"/>
      <c r="B1027" s="24"/>
      <c r="C1027" s="17"/>
      <c r="D1027" s="17"/>
      <c r="E1027" s="17"/>
      <c r="F1027" s="17"/>
      <c r="G1027" s="17"/>
      <c r="H1027" s="17"/>
      <c r="I1027" s="17"/>
      <c r="J1027" s="17"/>
      <c r="K1027" s="17"/>
    </row>
    <row r="1028">
      <c r="A1028" s="29"/>
      <c r="B1028" s="24"/>
      <c r="C1028" s="17"/>
      <c r="D1028" s="17"/>
      <c r="E1028" s="17"/>
      <c r="F1028" s="17"/>
      <c r="G1028" s="17"/>
      <c r="H1028" s="17"/>
      <c r="I1028" s="17"/>
      <c r="J1028" s="17"/>
      <c r="K1028" s="17"/>
    </row>
    <row r="1029">
      <c r="A1029" s="29"/>
      <c r="B1029" s="24"/>
      <c r="C1029" s="17"/>
      <c r="D1029" s="17"/>
      <c r="E1029" s="17"/>
      <c r="F1029" s="17"/>
      <c r="G1029" s="17"/>
      <c r="H1029" s="17"/>
      <c r="I1029" s="17"/>
      <c r="J1029" s="17"/>
      <c r="K1029" s="17"/>
    </row>
    <row r="1030">
      <c r="A1030" s="29"/>
      <c r="B1030" s="24"/>
      <c r="C1030" s="17"/>
      <c r="D1030" s="17"/>
      <c r="E1030" s="17"/>
      <c r="F1030" s="17"/>
      <c r="G1030" s="17"/>
      <c r="H1030" s="17"/>
      <c r="I1030" s="17"/>
      <c r="J1030" s="17"/>
      <c r="K1030" s="17"/>
    </row>
    <row r="1031">
      <c r="A1031" s="29"/>
      <c r="B1031" s="24"/>
      <c r="C1031" s="17"/>
      <c r="D1031" s="17"/>
      <c r="E1031" s="17"/>
      <c r="F1031" s="17"/>
      <c r="G1031" s="17"/>
      <c r="H1031" s="17"/>
      <c r="I1031" s="17"/>
      <c r="J1031" s="17"/>
      <c r="K1031" s="17"/>
    </row>
    <row r="1032">
      <c r="A1032" s="29"/>
      <c r="B1032" s="24"/>
      <c r="C1032" s="17"/>
      <c r="D1032" s="17"/>
      <c r="E1032" s="17"/>
      <c r="F1032" s="17"/>
      <c r="G1032" s="17"/>
      <c r="H1032" s="17"/>
      <c r="I1032" s="17"/>
      <c r="J1032" s="17"/>
      <c r="K1032" s="17"/>
    </row>
    <row r="1033">
      <c r="A1033" s="29"/>
      <c r="B1033" s="24"/>
      <c r="C1033" s="17"/>
      <c r="D1033" s="17"/>
      <c r="E1033" s="17"/>
      <c r="F1033" s="17"/>
      <c r="G1033" s="17"/>
      <c r="H1033" s="17"/>
      <c r="I1033" s="17"/>
      <c r="J1033" s="17"/>
      <c r="K1033" s="17"/>
    </row>
    <row r="1034">
      <c r="A1034" s="29"/>
      <c r="B1034" s="24"/>
      <c r="C1034" s="17"/>
      <c r="D1034" s="17"/>
      <c r="E1034" s="17"/>
      <c r="F1034" s="17"/>
      <c r="G1034" s="17"/>
      <c r="H1034" s="17"/>
      <c r="I1034" s="17"/>
      <c r="J1034" s="17"/>
      <c r="K1034" s="17"/>
    </row>
    <row r="1035">
      <c r="A1035" s="29"/>
      <c r="B1035" s="24"/>
      <c r="C1035" s="17"/>
      <c r="D1035" s="17"/>
      <c r="E1035" s="17"/>
      <c r="F1035" s="17"/>
      <c r="G1035" s="17"/>
      <c r="H1035" s="17"/>
      <c r="I1035" s="17"/>
      <c r="J1035" s="17"/>
      <c r="K1035" s="17"/>
    </row>
    <row r="1036">
      <c r="A1036" s="29"/>
      <c r="B1036" s="24"/>
      <c r="C1036" s="17"/>
      <c r="D1036" s="17"/>
      <c r="E1036" s="17"/>
      <c r="F1036" s="17"/>
      <c r="G1036" s="17"/>
      <c r="H1036" s="17"/>
      <c r="I1036" s="17"/>
      <c r="J1036" s="17"/>
      <c r="K1036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48" t="str">
        <f>IFERROR(__xludf.DUMMYFUNCTION("IMPORTRANGE(""https://docs.google.com/spreadsheets/d/1U7xw4reZguSls-dnmJ8PgEtHEv2QU44KRoJGWbCA3sY/edit?gid=2350551#gid=2350551"", ""APORTES!C7:L14"")"),"GAMELEIRA")</f>
        <v>GAMELEIRA</v>
      </c>
      <c r="B1" s="48" t="str">
        <f>IFERROR(__xludf.DUMMYFUNCTION("""COMPUTED_VALUE"""),"Itapipoca")</f>
        <v>Itapipoca</v>
      </c>
      <c r="C1" s="49">
        <f>IFERROR(__xludf.DUMMYFUNCTION("""COMPUTED_VALUE"""),36.98)</f>
        <v>36.98</v>
      </c>
      <c r="D1" s="49">
        <f>IFERROR(__xludf.DUMMYFUNCTION("""COMPUTED_VALUE"""),36.99)</f>
        <v>36.99</v>
      </c>
      <c r="E1" s="50">
        <f>IFERROR(__xludf.DUMMYFUNCTION("""COMPUTED_VALUE"""),62759.0)</f>
        <v>62759</v>
      </c>
      <c r="F1" s="49">
        <f>IFERROR(__xludf.DUMMYFUNCTION("""COMPUTED_VALUE"""),0.01)</f>
        <v>0.01</v>
      </c>
      <c r="G1" s="51">
        <f>IFERROR(__xludf.DUMMYFUNCTION("""COMPUTED_VALUE"""),0.00224766633470441)</f>
        <v>0.002247666335</v>
      </c>
      <c r="H1" s="52" t="str">
        <f>IFERROR(__xludf.DUMMYFUNCTION("""COMPUTED_VALUE"""),"#REF!")</f>
        <v>#REF!</v>
      </c>
      <c r="I1" s="52">
        <f>IFERROR(__xludf.DUMMYFUNCTION("""COMPUTED_VALUE"""),27.86)</f>
        <v>27.86</v>
      </c>
      <c r="J1" s="52">
        <f>IFERROR(__xludf.DUMMYFUNCTION("""COMPUTED_VALUE"""),99.78)</f>
        <v>99.78</v>
      </c>
    </row>
    <row r="2">
      <c r="A2" s="48" t="str">
        <f>IFERROR(__xludf.DUMMYFUNCTION("""COMPUTED_VALUE"""),"MISSI")</f>
        <v>MISSI</v>
      </c>
      <c r="B2" s="48" t="str">
        <f>IFERROR(__xludf.DUMMYFUNCTION("""COMPUTED_VALUE"""),"Miraíma")</f>
        <v>Miraíma</v>
      </c>
      <c r="C2" s="49">
        <f>IFERROR(__xludf.DUMMYFUNCTION("""COMPUTED_VALUE"""),54.720000000000006)</f>
        <v>54.72</v>
      </c>
      <c r="D2" s="49">
        <f>IFERROR(__xludf.DUMMYFUNCTION("""COMPUTED_VALUE"""),54.71)</f>
        <v>54.71</v>
      </c>
      <c r="E2" s="50">
        <f>IFERROR(__xludf.DUMMYFUNCTION("""COMPUTED_VALUE"""),0.0)</f>
        <v>0</v>
      </c>
      <c r="F2" s="49">
        <f>IFERROR(__xludf.DUMMYFUNCTION("""COMPUTED_VALUE"""),-0.01)</f>
        <v>-0.01</v>
      </c>
      <c r="G2" s="51">
        <f>IFERROR(__xludf.DUMMYFUNCTION("""COMPUTED_VALUE"""),0.0)</f>
        <v>0</v>
      </c>
      <c r="H2" s="52" t="str">
        <f>IFERROR(__xludf.DUMMYFUNCTION("""COMPUTED_VALUE"""),"#REF!")</f>
        <v>#REF!</v>
      </c>
      <c r="I2" s="52">
        <f>IFERROR(__xludf.DUMMYFUNCTION("""COMPUTED_VALUE"""),54.37)</f>
        <v>54.37</v>
      </c>
      <c r="J2" s="52">
        <f>IFERROR(__xludf.DUMMYFUNCTION("""COMPUTED_VALUE"""),100.0)</f>
        <v>100</v>
      </c>
    </row>
    <row r="3">
      <c r="A3" s="48" t="str">
        <f>IFERROR(__xludf.DUMMYFUNCTION("""COMPUTED_VALUE"""),"POÇO VERDE")</f>
        <v>POÇO VERDE</v>
      </c>
      <c r="B3" s="48" t="str">
        <f>IFERROR(__xludf.DUMMYFUNCTION("""COMPUTED_VALUE"""),"Itapipoca")</f>
        <v>Itapipoca</v>
      </c>
      <c r="C3" s="49">
        <f>IFERROR(__xludf.DUMMYFUNCTION("""COMPUTED_VALUE"""),68.09000000000006)</f>
        <v>68.09</v>
      </c>
      <c r="D3" s="49">
        <f>IFERROR(__xludf.DUMMYFUNCTION("""COMPUTED_VALUE"""),68.09000000000006)</f>
        <v>68.09</v>
      </c>
      <c r="E3" s="50">
        <f>IFERROR(__xludf.DUMMYFUNCTION("""COMPUTED_VALUE"""),0.0)</f>
        <v>0</v>
      </c>
      <c r="F3" s="49">
        <f>IFERROR(__xludf.DUMMYFUNCTION("""COMPUTED_VALUE"""),0.0)</f>
        <v>0</v>
      </c>
      <c r="G3" s="51">
        <f>IFERROR(__xludf.DUMMYFUNCTION("""COMPUTED_VALUE"""),0.0)</f>
        <v>0</v>
      </c>
      <c r="H3" s="52" t="str">
        <f>IFERROR(__xludf.DUMMYFUNCTION("""COMPUTED_VALUE"""),"")</f>
        <v/>
      </c>
      <c r="I3" s="52">
        <f>IFERROR(__xludf.DUMMYFUNCTION("""COMPUTED_VALUE"""),13.34)</f>
        <v>13.34</v>
      </c>
      <c r="J3" s="52">
        <f>IFERROR(__xludf.DUMMYFUNCTION("""COMPUTED_VALUE"""),100.0)</f>
        <v>100</v>
      </c>
    </row>
    <row r="4">
      <c r="A4" s="48" t="str">
        <f>IFERROR(__xludf.DUMMYFUNCTION("""COMPUTED_VALUE"""),"MUNDAÚ")</f>
        <v>MUNDAÚ</v>
      </c>
      <c r="B4" s="48" t="str">
        <f>IFERROR(__xludf.DUMMYFUNCTION("""COMPUTED_VALUE"""),"Uruburetama")</f>
        <v>Uruburetama</v>
      </c>
      <c r="C4" s="49">
        <f>IFERROR(__xludf.DUMMYFUNCTION("""COMPUTED_VALUE"""),166.49)</f>
        <v>166.49</v>
      </c>
      <c r="D4" s="49">
        <f>IFERROR(__xludf.DUMMYFUNCTION("""COMPUTED_VALUE"""),166.48)</f>
        <v>166.48</v>
      </c>
      <c r="E4" s="50">
        <f>IFERROR(__xludf.DUMMYFUNCTION("""COMPUTED_VALUE"""),0.0)</f>
        <v>0</v>
      </c>
      <c r="F4" s="49">
        <f>IFERROR(__xludf.DUMMYFUNCTION("""COMPUTED_VALUE"""),-0.01)</f>
        <v>-0.01</v>
      </c>
      <c r="G4" s="51">
        <f>IFERROR(__xludf.DUMMYFUNCTION("""COMPUTED_VALUE"""),0.0)</f>
        <v>0</v>
      </c>
      <c r="H4" s="52" t="str">
        <f>IFERROR(__xludf.DUMMYFUNCTION("""COMPUTED_VALUE"""),"#REF!")</f>
        <v>#REF!</v>
      </c>
      <c r="I4" s="52">
        <f>IFERROR(__xludf.DUMMYFUNCTION("""COMPUTED_VALUE"""),21.3)</f>
        <v>21.3</v>
      </c>
      <c r="J4" s="52">
        <f>IFERROR(__xludf.DUMMYFUNCTION("""COMPUTED_VALUE"""),100.0)</f>
        <v>100</v>
      </c>
    </row>
    <row r="5">
      <c r="A5" s="48" t="str">
        <f>IFERROR(__xludf.DUMMYFUNCTION("""COMPUTED_VALUE"""),"QUANDÚ")</f>
        <v>QUANDÚ</v>
      </c>
      <c r="B5" s="48" t="str">
        <f>IFERROR(__xludf.DUMMYFUNCTION("""COMPUTED_VALUE"""),"Itapipoca")</f>
        <v>Itapipoca</v>
      </c>
      <c r="C5" s="49">
        <f>IFERROR(__xludf.DUMMYFUNCTION("""COMPUTED_VALUE"""),98.52)</f>
        <v>98.52</v>
      </c>
      <c r="D5" s="49">
        <f>IFERROR(__xludf.DUMMYFUNCTION("""COMPUTED_VALUE"""),98.52)</f>
        <v>98.52</v>
      </c>
      <c r="E5" s="50">
        <f>IFERROR(__xludf.DUMMYFUNCTION("""COMPUTED_VALUE"""),0.0)</f>
        <v>0</v>
      </c>
      <c r="F5" s="49">
        <f>IFERROR(__xludf.DUMMYFUNCTION("""COMPUTED_VALUE"""),0.0)</f>
        <v>0</v>
      </c>
      <c r="G5" s="51">
        <f>IFERROR(__xludf.DUMMYFUNCTION("""COMPUTED_VALUE"""),0.0)</f>
        <v>0</v>
      </c>
      <c r="H5" s="52" t="str">
        <f>IFERROR(__xludf.DUMMYFUNCTION("""COMPUTED_VALUE"""),"")</f>
        <v/>
      </c>
      <c r="I5" s="52">
        <f>IFERROR(__xludf.DUMMYFUNCTION("""COMPUTED_VALUE"""),2.45)</f>
        <v>2.45</v>
      </c>
      <c r="J5" s="52">
        <f>IFERROR(__xludf.DUMMYFUNCTION("""COMPUTED_VALUE"""),100.0)</f>
        <v>100</v>
      </c>
    </row>
    <row r="6">
      <c r="A6" s="48" t="str">
        <f>IFERROR(__xludf.DUMMYFUNCTION("""COMPUTED_VALUE"""),"S. PEDRO TIMBAÚBA")</f>
        <v>S. PEDRO TIMBAÚBA</v>
      </c>
      <c r="B6" s="48" t="str">
        <f>IFERROR(__xludf.DUMMYFUNCTION("""COMPUTED_VALUE"""),"Miraíma")</f>
        <v>Miraíma</v>
      </c>
      <c r="C6" s="49">
        <f>IFERROR(__xludf.DUMMYFUNCTION("""COMPUTED_VALUE"""),99.05)</f>
        <v>99.05</v>
      </c>
      <c r="D6" s="49">
        <f>IFERROR(__xludf.DUMMYFUNCTION("""COMPUTED_VALUE"""),99.04)</f>
        <v>99.04</v>
      </c>
      <c r="E6" s="50">
        <f>IFERROR(__xludf.DUMMYFUNCTION("""COMPUTED_VALUE"""),0.0)</f>
        <v>0</v>
      </c>
      <c r="F6" s="49">
        <f>IFERROR(__xludf.DUMMYFUNCTION("""COMPUTED_VALUE"""),-0.01)</f>
        <v>-0.01</v>
      </c>
      <c r="G6" s="51">
        <f>IFERROR(__xludf.DUMMYFUNCTION("""COMPUTED_VALUE"""),0.0)</f>
        <v>0</v>
      </c>
      <c r="H6" s="52" t="str">
        <f>IFERROR(__xludf.DUMMYFUNCTION("""COMPUTED_VALUE"""),"#REF!")</f>
        <v>#REF!</v>
      </c>
      <c r="I6" s="52">
        <f>IFERROR(__xludf.DUMMYFUNCTION("""COMPUTED_VALUE"""),15.77)</f>
        <v>15.77</v>
      </c>
      <c r="J6" s="52">
        <f>IFERROR(__xludf.DUMMYFUNCTION("""COMPUTED_VALUE"""),100.0)</f>
        <v>100</v>
      </c>
    </row>
    <row r="7">
      <c r="A7" s="48" t="str">
        <f>IFERROR(__xludf.DUMMYFUNCTION("""COMPUTED_VALUE"""),"STO. ANTÔNIO DE ARACATIAÇU")</f>
        <v>STO. ANTÔNIO DE ARACATIAÇU</v>
      </c>
      <c r="B7" s="48" t="str">
        <f>IFERROR(__xludf.DUMMYFUNCTION("""COMPUTED_VALUE"""),"Sobral")</f>
        <v>Sobral</v>
      </c>
      <c r="C7" s="49">
        <f>IFERROR(__xludf.DUMMYFUNCTION("""COMPUTED_VALUE"""),92.67)</f>
        <v>92.67</v>
      </c>
      <c r="D7" s="49">
        <f>IFERROR(__xludf.DUMMYFUNCTION("""COMPUTED_VALUE"""),92.65)</f>
        <v>92.65</v>
      </c>
      <c r="E7" s="50">
        <f>IFERROR(__xludf.DUMMYFUNCTION("""COMPUTED_VALUE"""),-102653.0)</f>
        <v>-102653</v>
      </c>
      <c r="F7" s="49">
        <f>IFERROR(__xludf.DUMMYFUNCTION("""COMPUTED_VALUE"""),-0.02)</f>
        <v>-0.02</v>
      </c>
      <c r="G7" s="51">
        <f>IFERROR(__xludf.DUMMYFUNCTION("""COMPUTED_VALUE"""),-0.003580502267178235)</f>
        <v>-0.003580502267</v>
      </c>
      <c r="H7" s="52" t="str">
        <f>IFERROR(__xludf.DUMMYFUNCTION("""COMPUTED_VALUE"""),"#REF!")</f>
        <v>#REF!</v>
      </c>
      <c r="I7" s="52">
        <f>IFERROR(__xludf.DUMMYFUNCTION("""COMPUTED_VALUE"""),26.88)</f>
        <v>26.88</v>
      </c>
      <c r="J7" s="52">
        <f>IFERROR(__xludf.DUMMYFUNCTION("""COMPUTED_VALUE"""),93.74)</f>
        <v>93.74</v>
      </c>
    </row>
    <row r="8">
      <c r="A8" s="48" t="str">
        <f>IFERROR(__xludf.DUMMYFUNCTION("""COMPUTED_VALUE"""),"PATOS")</f>
        <v>PATOS</v>
      </c>
      <c r="B8" s="48" t="str">
        <f>IFERROR(__xludf.DUMMYFUNCTION("""COMPUTED_VALUE"""),"Sobral")</f>
        <v>Sobral</v>
      </c>
      <c r="C8" s="49">
        <f>IFERROR(__xludf.DUMMYFUNCTION("""COMPUTED_VALUE"""),105.66)</f>
        <v>105.66</v>
      </c>
      <c r="D8" s="49">
        <f>IFERROR(__xludf.DUMMYFUNCTION("""COMPUTED_VALUE"""),105.64)</f>
        <v>105.64</v>
      </c>
      <c r="E8" s="50">
        <f>IFERROR(__xludf.DUMMYFUNCTION("""COMPUTED_VALUE"""),-38008.0)</f>
        <v>-38008</v>
      </c>
      <c r="F8" s="49">
        <f>IFERROR(__xludf.DUMMYFUNCTION("""COMPUTED_VALUE"""),-0.02)</f>
        <v>-0.02</v>
      </c>
      <c r="G8" s="51">
        <f>IFERROR(__xludf.DUMMYFUNCTION("""COMPUTED_VALUE"""),-0.0050341721854304635)</f>
        <v>-0.005034172185</v>
      </c>
      <c r="H8" s="52" t="str">
        <f>IFERROR(__xludf.DUMMYFUNCTION("""COMPUTED_VALUE"""),"#REF!")</f>
        <v>#REF!</v>
      </c>
      <c r="I8" s="52">
        <f>IFERROR(__xludf.DUMMYFUNCTION("""COMPUTED_VALUE"""),6.87)</f>
        <v>6.87</v>
      </c>
      <c r="J8" s="52">
        <f>IFERROR(__xludf.DUMMYFUNCTION("""COMPUTED_VALUE"""),90.94)</f>
        <v>90.94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tr">
        <f>IFERROR(__xludf.DUMMYFUNCTION("IMPORTRANGE(""https://docs.google.com/spreadsheets/d/1zaCmAHA_Hgob1ygsnCGPfEIosw5PR-DYRK7b89cprdc/edit?gid=1378782964#gid=1378782964"",""'Programação ITAPIPOCA'!A:E"")"),"                                                                                                                 ")</f>
        <v>                                                                                                                 </v>
      </c>
      <c r="B1" s="48"/>
      <c r="C1" s="48"/>
      <c r="D1" s="48"/>
      <c r="E1" s="48"/>
    </row>
    <row r="2">
      <c r="A2" s="48"/>
      <c r="B2" s="48"/>
      <c r="C2" s="48"/>
      <c r="D2" s="48"/>
      <c r="E2" s="48"/>
    </row>
    <row r="3">
      <c r="A3" s="48"/>
      <c r="B3" s="48"/>
      <c r="C3" s="48"/>
      <c r="D3" s="48"/>
      <c r="E3" s="48"/>
    </row>
    <row r="4">
      <c r="A4" s="48"/>
      <c r="B4" s="48"/>
      <c r="C4" s="48"/>
      <c r="D4" s="48"/>
      <c r="E4" s="48"/>
    </row>
    <row r="5">
      <c r="A5" s="48"/>
      <c r="B5" s="53" t="str">
        <f>IFERROR(__xludf.DUMMYFUNCTION("""COMPUTED_VALUE"""),"Gerência")</f>
        <v>Gerência</v>
      </c>
      <c r="C5" s="53" t="str">
        <f>IFERROR(__xludf.DUMMYFUNCTION("""COMPUTED_VALUE"""),"Núcleo")</f>
        <v>Núcleo</v>
      </c>
      <c r="D5" s="53" t="str">
        <f>IFERROR(__xludf.DUMMYFUNCTION("""COMPUTED_VALUE"""),"Eixo")</f>
        <v>Eixo</v>
      </c>
      <c r="E5" s="53" t="str">
        <f>IFERROR(__xludf.DUMMYFUNCTION("""COMPUTED_VALUE"""),"Atividade")</f>
        <v>Atividade</v>
      </c>
    </row>
    <row r="6">
      <c r="A6" s="48"/>
      <c r="B6" s="48"/>
      <c r="C6" s="48"/>
      <c r="D6" s="48"/>
      <c r="E6" s="53" t="str">
        <f>IFERROR(__xludf.DUMMYFUNCTION("""COMPUTED_VALUE"""),"    ")</f>
        <v>    </v>
      </c>
    </row>
    <row r="7">
      <c r="A7" s="54">
        <f>IFERROR(__xludf.DUMMYFUNCTION("""COMPUTED_VALUE"""),46027.0)</f>
        <v>46027</v>
      </c>
      <c r="B7" s="48"/>
      <c r="C7" s="48"/>
      <c r="D7" s="48"/>
      <c r="E7" s="53" t="str">
        <f>IFERROR(__xludf.DUMMYFUNCTION("""COMPUTED_VALUE"""),"Providenciar stories dos aniversariantes do mês de janeiro do CBH Litoral")</f>
        <v>Providenciar stories dos aniversariantes do mês de janeiro do CBH Litoral</v>
      </c>
    </row>
    <row r="8">
      <c r="A8" s="54">
        <f>IFERROR(__xludf.DUMMYFUNCTION("""COMPUTED_VALUE"""),46027.0)</f>
        <v>46027</v>
      </c>
      <c r="B8" s="48"/>
      <c r="C8" s="48"/>
      <c r="D8" s="48"/>
      <c r="E8" s="53" t="str">
        <f>IFERROR(__xludf.DUMMYFUNCTION("""COMPUTED_VALUE"""),"Organização de documentos para a mobilização de Diretoria")</f>
        <v>Organização de documentos para a mobilização de Diretoria</v>
      </c>
    </row>
    <row r="9">
      <c r="A9" s="54">
        <f>IFERROR(__xludf.DUMMYFUNCTION("""COMPUTED_VALUE"""),46027.0)</f>
        <v>46027</v>
      </c>
      <c r="B9" s="48"/>
      <c r="C9" s="48"/>
      <c r="D9" s="48"/>
      <c r="E9" s="53" t="str">
        <f>IFERROR(__xludf.DUMMYFUNCTION("""COMPUTED_VALUE"""),"Mobilização para a 1ª Reunião com a Diretoria do CBH Litoral")</f>
        <v>Mobilização para a 1ª Reunião com a Diretoria do CBH Litoral</v>
      </c>
    </row>
    <row r="10">
      <c r="A10" s="54">
        <f>IFERROR(__xludf.DUMMYFUNCTION("""COMPUTED_VALUE"""),46027.0)</f>
        <v>46027</v>
      </c>
      <c r="B10" s="48"/>
      <c r="C10" s="48"/>
      <c r="D10" s="48"/>
      <c r="E10" s="53" t="str">
        <f>IFERROR(__xludf.DUMMYFUNCTION("""COMPUTED_VALUE"""),"Faturamento (Coleta das leituras dos hidrômetros)")</f>
        <v>Faturamento (Coleta das leituras dos hidrômetros)</v>
      </c>
    </row>
    <row r="11">
      <c r="A11" s="54">
        <f>IFERROR(__xludf.DUMMYFUNCTION("""COMPUTED_VALUE"""),46027.0)</f>
        <v>46027</v>
      </c>
      <c r="B11" s="48"/>
      <c r="C11" s="48"/>
      <c r="D11" s="48"/>
      <c r="E11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12">
      <c r="A12" s="54">
        <f>IFERROR(__xludf.DUMMYFUNCTION("""COMPUTED_VALUE"""),46028.0)</f>
        <v>46028</v>
      </c>
      <c r="B12" s="48"/>
      <c r="C12" s="48"/>
      <c r="D12" s="48"/>
      <c r="E12" s="53" t="str">
        <f>IFERROR(__xludf.DUMMYFUNCTION("""COMPUTED_VALUE"""),"Publicar story do aniversário da Sra. Maria Ozani de Araújo Barros ")</f>
        <v>Publicar story do aniversário da Sra. Maria Ozani de Araújo Barros </v>
      </c>
    </row>
    <row r="13">
      <c r="A13" s="54">
        <f>IFERROR(__xludf.DUMMYFUNCTION("""COMPUTED_VALUE"""),46028.0)</f>
        <v>46028</v>
      </c>
      <c r="B13" s="48"/>
      <c r="C13" s="48"/>
      <c r="D13" s="48"/>
      <c r="E13" s="53" t="str">
        <f>IFERROR(__xludf.DUMMYFUNCTION("""COMPUTED_VALUE"""),"Produção de peça sobre a 1ª Reunião com a Diretoria do CBH Litoral")</f>
        <v>Produção de peça sobre a 1ª Reunião com a Diretoria do CBH Litoral</v>
      </c>
    </row>
    <row r="14">
      <c r="A14" s="54">
        <f>IFERROR(__xludf.DUMMYFUNCTION("""COMPUTED_VALUE"""),46028.0)</f>
        <v>46028</v>
      </c>
      <c r="B14" s="48"/>
      <c r="C14" s="48"/>
      <c r="D14" s="48"/>
      <c r="E14" s="53" t="str">
        <f>IFERROR(__xludf.DUMMYFUNCTION("""COMPUTED_VALUE"""),"Produção de apresentação das atividades realizadas em 2025")</f>
        <v>Produção de apresentação das atividades realizadas em 2025</v>
      </c>
    </row>
    <row r="15">
      <c r="A15" s="54">
        <f>IFERROR(__xludf.DUMMYFUNCTION("""COMPUTED_VALUE"""),46028.0)</f>
        <v>46028</v>
      </c>
      <c r="B15" s="48"/>
      <c r="C15" s="48"/>
      <c r="D15" s="48"/>
      <c r="E15" s="53" t="str">
        <f>IFERROR(__xludf.DUMMYFUNCTION("""COMPUTED_VALUE"""),"Planejamento comunicação do CBH Litoral")</f>
        <v>Planejamento comunicação do CBH Litoral</v>
      </c>
    </row>
    <row r="16">
      <c r="A16" s="54">
        <f>IFERROR(__xludf.DUMMYFUNCTION("""COMPUTED_VALUE"""),46028.0)</f>
        <v>46028</v>
      </c>
      <c r="B16" s="48"/>
      <c r="C16" s="48"/>
      <c r="D16" s="48"/>
      <c r="E16" s="53" t="str">
        <f>IFERROR(__xludf.DUMMYFUNCTION("""COMPUTED_VALUE"""),"Contato com a comunicação da SRH para gravação de vídeo sobre o Dia Internacional da Educação")</f>
        <v>Contato com a comunicação da SRH para gravação de vídeo sobre o Dia Internacional da Educação</v>
      </c>
    </row>
    <row r="17">
      <c r="A17" s="54">
        <f>IFERROR(__xludf.DUMMYFUNCTION("""COMPUTED_VALUE"""),46028.0)</f>
        <v>46028</v>
      </c>
      <c r="B17" s="48"/>
      <c r="C17" s="48"/>
      <c r="D17" s="48"/>
      <c r="E17" s="53" t="str">
        <f>IFERROR(__xludf.DUMMYFUNCTION("""COMPUTED_VALUE"""),"Faturamento (Coleta das leituras dos hidrômetros)")</f>
        <v>Faturamento (Coleta das leituras dos hidrômetros)</v>
      </c>
    </row>
    <row r="18">
      <c r="A18" s="54">
        <f>IFERROR(__xludf.DUMMYFUNCTION("""COMPUTED_VALUE"""),46028.0)</f>
        <v>46028</v>
      </c>
      <c r="B18" s="48"/>
      <c r="C18" s="48"/>
      <c r="D18" s="48"/>
      <c r="E18" s="53" t="str">
        <f>IFERROR(__xludf.DUMMYFUNCTION("""COMPUTED_VALUE"""),"Acompanhamento de Trecho Perenizado (Mundaú)")</f>
        <v>Acompanhamento de Trecho Perenizado (Mundaú)</v>
      </c>
    </row>
    <row r="19">
      <c r="A19" s="54">
        <f>IFERROR(__xludf.DUMMYFUNCTION("""COMPUTED_VALUE"""),46029.0)</f>
        <v>46029</v>
      </c>
      <c r="B19" s="48"/>
      <c r="C19" s="48"/>
      <c r="D19" s="48"/>
      <c r="E19" s="53" t="str">
        <f>IFERROR(__xludf.DUMMYFUNCTION("""COMPUTED_VALUE"""),"Produção de apresentação das atividades realizadas em 2025")</f>
        <v>Produção de apresentação das atividades realizadas em 2025</v>
      </c>
    </row>
    <row r="20">
      <c r="A20" s="54">
        <f>IFERROR(__xludf.DUMMYFUNCTION("""COMPUTED_VALUE"""),46029.0)</f>
        <v>46029</v>
      </c>
      <c r="B20" s="48"/>
      <c r="C20" s="48"/>
      <c r="D20" s="48"/>
      <c r="E20" s="53" t="str">
        <f>IFERROR(__xludf.DUMMYFUNCTION("""COMPUTED_VALUE"""),"Providenciar série de publicações sobre a campanha Janeiro Branco")</f>
        <v>Providenciar série de publicações sobre a campanha Janeiro Branco</v>
      </c>
    </row>
    <row r="21">
      <c r="A21" s="54">
        <f>IFERROR(__xludf.DUMMYFUNCTION("""COMPUTED_VALUE"""),46029.0)</f>
        <v>46029</v>
      </c>
      <c r="B21" s="48"/>
      <c r="C21" s="48"/>
      <c r="D21" s="48"/>
      <c r="E21" s="53" t="str">
        <f>IFERROR(__xludf.DUMMYFUNCTION("""COMPUTED_VALUE"""),"Faturamento (Coleta das leituras dos hidrômetros)")</f>
        <v>Faturamento (Coleta das leituras dos hidrômetros)</v>
      </c>
    </row>
    <row r="22">
      <c r="A22" s="54">
        <f>IFERROR(__xludf.DUMMYFUNCTION("""COMPUTED_VALUE"""),46029.0)</f>
        <v>46029</v>
      </c>
      <c r="B22" s="48"/>
      <c r="C22" s="48"/>
      <c r="D22" s="48"/>
      <c r="E22" s="53" t="str">
        <f>IFERROR(__xludf.DUMMYFUNCTION("""COMPUTED_VALUE"""),"Inspeção de Segurança Regular, Acompanhamento de Trecho Perenizado e Medição de Vazão (São Pedro da Timbaúba)")</f>
        <v>Inspeção de Segurança Regular, Acompanhamento de Trecho Perenizado e Medição de Vazão (São Pedro da Timbaúba)</v>
      </c>
    </row>
    <row r="23">
      <c r="A23" s="54">
        <f>IFERROR(__xludf.DUMMYFUNCTION("""COMPUTED_VALUE"""),46030.0)</f>
        <v>46030</v>
      </c>
      <c r="B23" s="48"/>
      <c r="C23" s="48"/>
      <c r="D23" s="48"/>
      <c r="E23" s="53" t="str">
        <f>IFERROR(__xludf.DUMMYFUNCTION("""COMPUTED_VALUE"""),"Oficina: Uso de IA no apoio à elaboração e padronização de atas e relatórios na COGERH")</f>
        <v>Oficina: Uso de IA no apoio à elaboração e padronização de atas e relatórios na COGERH</v>
      </c>
    </row>
    <row r="24">
      <c r="A24" s="54">
        <f>IFERROR(__xludf.DUMMYFUNCTION("""COMPUTED_VALUE"""),46030.0)</f>
        <v>46030</v>
      </c>
      <c r="B24" s="48"/>
      <c r="C24" s="48"/>
      <c r="D24" s="48"/>
      <c r="E24" s="53" t="str">
        <f>IFERROR(__xludf.DUMMYFUNCTION("""COMPUTED_VALUE"""),"Providenciar peça sobre emancipação do Estado do Ceará")</f>
        <v>Providenciar peça sobre emancipação do Estado do Ceará</v>
      </c>
    </row>
    <row r="25">
      <c r="A25" s="54">
        <f>IFERROR(__xludf.DUMMYFUNCTION("""COMPUTED_VALUE"""),46030.0)</f>
        <v>46030</v>
      </c>
      <c r="B25" s="48"/>
      <c r="C25" s="48"/>
      <c r="D25" s="48"/>
      <c r="E25" s="53" t="str">
        <f>IFERROR(__xludf.DUMMYFUNCTION("""COMPUTED_VALUE"""),"Faturamento (Coleta das leituras dos hidrômetros) e Vistoria no Trairi referente à contrução de um tanque")</f>
        <v>Faturamento (Coleta das leituras dos hidrômetros) e Vistoria no Trairi referente à contrução de um tanque</v>
      </c>
    </row>
    <row r="26">
      <c r="A26" s="54">
        <f>IFERROR(__xludf.DUMMYFUNCTION("""COMPUTED_VALUE"""),46030.0)</f>
        <v>46030</v>
      </c>
      <c r="B26" s="48"/>
      <c r="C26" s="48"/>
      <c r="D26" s="48"/>
      <c r="E26" s="53" t="str">
        <f>IFERROR(__xludf.DUMMYFUNCTION("""COMPUTED_VALUE"""),"Produção de Relatório de Acompanhamento de Trecho Perenizado (Mundaú e São Pedro da Timbaúba)")</f>
        <v>Produção de Relatório de Acompanhamento de Trecho Perenizado (Mundaú e São Pedro da Timbaúba)</v>
      </c>
    </row>
    <row r="27">
      <c r="A27" s="54">
        <f>IFERROR(__xludf.DUMMYFUNCTION("""COMPUTED_VALUE"""),46030.0)</f>
        <v>46030</v>
      </c>
      <c r="B27" s="48"/>
      <c r="C27" s="48"/>
      <c r="D27" s="48"/>
      <c r="E27" s="53" t="str">
        <f>IFERROR(__xludf.DUMMYFUNCTION("""COMPUTED_VALUE"""),"Inserir dados do Checklist no SIGERH (São Pedro da Timbaúba)")</f>
        <v>Inserir dados do Checklist no SIGERH (São Pedro da Timbaúba)</v>
      </c>
    </row>
    <row r="28">
      <c r="A28" s="54">
        <f>IFERROR(__xludf.DUMMYFUNCTION("""COMPUTED_VALUE"""),46031.0)</f>
        <v>46031</v>
      </c>
      <c r="B28" s="48"/>
      <c r="C28" s="48"/>
      <c r="D28" s="48"/>
      <c r="E28" s="53" t="str">
        <f>IFERROR(__xludf.DUMMYFUNCTION("""COMPUTED_VALUE"""),"Retorno da oficina: Uso de IA no apoio à elaboração e padronização de atas e relatórios na COGERH")</f>
        <v>Retorno da oficina: Uso de IA no apoio à elaboração e padronização de atas e relatórios na COGERH</v>
      </c>
    </row>
    <row r="29">
      <c r="A29" s="54">
        <f>IFERROR(__xludf.DUMMYFUNCTION("""COMPUTED_VALUE"""),46031.0)</f>
        <v>46031</v>
      </c>
      <c r="B29" s="48"/>
      <c r="C29" s="48"/>
      <c r="D29" s="48"/>
      <c r="E29" s="53" t="str">
        <f>IFERROR(__xludf.DUMMYFUNCTION("""COMPUTED_VALUE"""),"Produção de matéria sobre a 1ª Reunião com a Diretoria")</f>
        <v>Produção de matéria sobre a 1ª Reunião com a Diretoria</v>
      </c>
    </row>
    <row r="30">
      <c r="A30" s="54">
        <f>IFERROR(__xludf.DUMMYFUNCTION("""COMPUTED_VALUE"""),46031.0)</f>
        <v>46031</v>
      </c>
      <c r="B30" s="48"/>
      <c r="C30" s="48"/>
      <c r="D30" s="48"/>
      <c r="E30" s="53" t="str">
        <f>IFERROR(__xludf.DUMMYFUNCTION("""COMPUTED_VALUE"""),"Atualizar planilha da Gerência Regional com atividades programadas da semana")</f>
        <v>Atualizar planilha da Gerência Regional com atividades programadas da semana</v>
      </c>
    </row>
    <row r="31">
      <c r="A31" s="54">
        <f>IFERROR(__xludf.DUMMYFUNCTION("""COMPUTED_VALUE"""),46031.0)</f>
        <v>46031</v>
      </c>
      <c r="B31" s="48"/>
      <c r="C31" s="48"/>
      <c r="D31" s="48"/>
      <c r="E31" s="53" t="str">
        <f>IFERROR(__xludf.DUMMYFUNCTION("""COMPUTED_VALUE"""),"Atualizar planilha da Gestão Participativa com atividades programadas da semana")</f>
        <v>Atualizar planilha da Gestão Participativa com atividades programadas da semana</v>
      </c>
    </row>
    <row r="32">
      <c r="A32" s="54">
        <f>IFERROR(__xludf.DUMMYFUNCTION("""COMPUTED_VALUE"""),46031.0)</f>
        <v>46031</v>
      </c>
      <c r="B32" s="48"/>
      <c r="C32" s="48"/>
      <c r="D32" s="48"/>
      <c r="E32" s="53" t="str">
        <f>IFERROR(__xludf.DUMMYFUNCTION("""COMPUTED_VALUE"""),"Faturamento (Atualizar dados do faturamento no sistema)")</f>
        <v>Faturamento (Atualizar dados do faturamento no sistema)</v>
      </c>
    </row>
    <row r="33">
      <c r="A33" s="54">
        <f>IFERROR(__xludf.DUMMYFUNCTION("""COMPUTED_VALUE"""),46031.0)</f>
        <v>46031</v>
      </c>
      <c r="B33" s="48"/>
      <c r="C33" s="48"/>
      <c r="D33" s="48"/>
      <c r="E33" s="53" t="str">
        <f>IFERROR(__xludf.DUMMYFUNCTION("""COMPUTED_VALUE"""),"Vistoria de Usuários (DASS)")</f>
        <v>Vistoria de Usuários (DASS)</v>
      </c>
    </row>
    <row r="34">
      <c r="A34" s="54">
        <f>IFERROR(__xludf.DUMMYFUNCTION("""COMPUTED_VALUE"""),46031.0)</f>
        <v>46031</v>
      </c>
      <c r="B34" s="48"/>
      <c r="C34" s="48"/>
      <c r="D34" s="48"/>
      <c r="E34" s="53" t="str">
        <f>IFERROR(__xludf.DUMMYFUNCTION("""COMPUTED_VALUE"""),"Produção do relatório de vistoria na DASS")</f>
        <v>Produção do relatório de vistoria na DASS</v>
      </c>
    </row>
    <row r="35">
      <c r="A35" s="54">
        <f>IFERROR(__xludf.DUMMYFUNCTION("""COMPUTED_VALUE"""),46031.0)</f>
        <v>46031</v>
      </c>
      <c r="B35" s="48"/>
      <c r="C35" s="48"/>
      <c r="D35" s="48"/>
      <c r="E35" s="53" t="str">
        <f>IFERROR(__xludf.DUMMYFUNCTION("""COMPUTED_VALUE"""),"Atualização dos dados de Captação e Perenização no SIGERH")</f>
        <v>Atualização dos dados de Captação e Perenização no SIGERH</v>
      </c>
    </row>
    <row r="36">
      <c r="A36" s="54">
        <f>IFERROR(__xludf.DUMMYFUNCTION("""COMPUTED_VALUE"""),46031.0)</f>
        <v>46031</v>
      </c>
      <c r="B36" s="48"/>
      <c r="C36" s="48"/>
      <c r="D36" s="48"/>
      <c r="E36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37">
      <c r="A37" s="54">
        <f>IFERROR(__xludf.DUMMYFUNCTION("""COMPUTED_VALUE"""),46032.0)</f>
        <v>46032</v>
      </c>
      <c r="B37" s="48"/>
      <c r="C37" s="48"/>
      <c r="D37" s="48"/>
      <c r="E37" s="48"/>
    </row>
    <row r="38">
      <c r="A38" s="54">
        <f>IFERROR(__xludf.DUMMYFUNCTION("""COMPUTED_VALUE"""),46033.0)</f>
        <v>46033</v>
      </c>
      <c r="B38" s="48"/>
      <c r="C38" s="48"/>
      <c r="D38" s="48"/>
      <c r="E38" s="48"/>
    </row>
    <row r="39">
      <c r="A39" s="54">
        <f>IFERROR(__xludf.DUMMYFUNCTION("""COMPUTED_VALUE"""),46034.0)</f>
        <v>46034</v>
      </c>
      <c r="B39" s="48"/>
      <c r="C39" s="48"/>
      <c r="D39" s="48"/>
      <c r="E39" s="53" t="str">
        <f>IFERROR(__xludf.DUMMYFUNCTION("""COMPUTED_VALUE"""),"Diagnóstico CG do açude Patos")</f>
        <v>Diagnóstico CG do açude Patos</v>
      </c>
    </row>
    <row r="40">
      <c r="A40" s="54">
        <f>IFERROR(__xludf.DUMMYFUNCTION("""COMPUTED_VALUE"""),46034.0)</f>
        <v>46034</v>
      </c>
      <c r="B40" s="48"/>
      <c r="C40" s="48"/>
      <c r="D40" s="48"/>
      <c r="E40" s="53" t="str">
        <f>IFERROR(__xludf.DUMMYFUNCTION("""COMPUTED_VALUE"""),"Atualizar contatos das Câmaras e Prefeituras Municipais dos 13 municípios da Bacia Hidrográfica")</f>
        <v>Atualizar contatos das Câmaras e Prefeituras Municipais dos 13 municípios da Bacia Hidrográfica</v>
      </c>
    </row>
    <row r="41">
      <c r="A41" s="54">
        <f>IFERROR(__xludf.DUMMYFUNCTION("""COMPUTED_VALUE"""),46034.0)</f>
        <v>46034</v>
      </c>
      <c r="B41" s="48"/>
      <c r="C41" s="48"/>
      <c r="D41" s="48"/>
      <c r="E41" s="53" t="str">
        <f>IFERROR(__xludf.DUMMYFUNCTION("""COMPUTED_VALUE"""),"Organizar rota de mobilizações para a 74ª Reunião Ordinária")</f>
        <v>Organizar rota de mobilizações para a 74ª Reunião Ordinária</v>
      </c>
    </row>
    <row r="42">
      <c r="A42" s="54">
        <f>IFERROR(__xludf.DUMMYFUNCTION("""COMPUTED_VALUE"""),46034.0)</f>
        <v>46034</v>
      </c>
      <c r="B42" s="48"/>
      <c r="C42" s="48"/>
      <c r="D42" s="48"/>
      <c r="E42" s="53" t="str">
        <f>IFERROR(__xludf.DUMMYFUNCTION("""COMPUTED_VALUE"""),"Comunicar os membros que gravarão os vídeos dos aniversários municipais de Itarema e Amontada, respectivamente")</f>
        <v>Comunicar os membros que gravarão os vídeos dos aniversários municipais de Itarema e Amontada, respectivamente</v>
      </c>
    </row>
    <row r="43">
      <c r="A43" s="54">
        <f>IFERROR(__xludf.DUMMYFUNCTION("""COMPUTED_VALUE"""),46034.0)</f>
        <v>46034</v>
      </c>
      <c r="B43" s="48"/>
      <c r="C43" s="48"/>
      <c r="D43" s="48"/>
      <c r="E43" s="53" t="str">
        <f>IFERROR(__xludf.DUMMYFUNCTION("""COMPUTED_VALUE"""),"Produção de post com legenda sobre 74ª Reunião Ordinária do CBH Litoral")</f>
        <v>Produção de post com legenda sobre 74ª Reunião Ordinária do CBH Litoral</v>
      </c>
    </row>
    <row r="44">
      <c r="A44" s="54">
        <f>IFERROR(__xludf.DUMMYFUNCTION("""COMPUTED_VALUE"""),46034.0)</f>
        <v>46034</v>
      </c>
      <c r="B44" s="48"/>
      <c r="C44" s="48"/>
      <c r="D44" s="48"/>
      <c r="E44" s="53" t="str">
        <f>IFERROR(__xludf.DUMMYFUNCTION("""COMPUTED_VALUE"""),"Inspeção de Segurança Regular e Medição de Vazão (Patos)")</f>
        <v>Inspeção de Segurança Regular e Medição de Vazão (Patos)</v>
      </c>
    </row>
    <row r="45">
      <c r="A45" s="54">
        <f>IFERROR(__xludf.DUMMYFUNCTION("""COMPUTED_VALUE"""),46035.0)</f>
        <v>46035</v>
      </c>
      <c r="B45" s="48"/>
      <c r="C45" s="48"/>
      <c r="D45" s="48"/>
      <c r="E45" s="53" t="str">
        <f>IFERROR(__xludf.DUMMYFUNCTION("""COMPUTED_VALUE"""),"Diagnóstico CG do açude Patos")</f>
        <v>Diagnóstico CG do açude Patos</v>
      </c>
    </row>
    <row r="46">
      <c r="A46" s="54">
        <f>IFERROR(__xludf.DUMMYFUNCTION("""COMPUTED_VALUE"""),46035.0)</f>
        <v>46035</v>
      </c>
      <c r="B46" s="48"/>
      <c r="C46" s="48"/>
      <c r="D46" s="48"/>
      <c r="E46" s="53" t="str">
        <f>IFERROR(__xludf.DUMMYFUNCTION("""COMPUTED_VALUE"""),"Produção de apresentação das atividades realizadas em 2025")</f>
        <v>Produção de apresentação das atividades realizadas em 2025</v>
      </c>
    </row>
    <row r="47">
      <c r="A47" s="54">
        <f>IFERROR(__xludf.DUMMYFUNCTION("""COMPUTED_VALUE"""),46035.0)</f>
        <v>46035</v>
      </c>
      <c r="B47" s="48"/>
      <c r="C47" s="48"/>
      <c r="D47" s="48"/>
      <c r="E47" s="53" t="str">
        <f>IFERROR(__xludf.DUMMYFUNCTION("""COMPUTED_VALUE"""),"Reforçar contato com a comunicação da SRH para gravação de vídeo sobre o Dia Internacional da Educação")</f>
        <v>Reforçar contato com a comunicação da SRH para gravação de vídeo sobre o Dia Internacional da Educação</v>
      </c>
    </row>
    <row r="48">
      <c r="A48" s="54">
        <f>IFERROR(__xludf.DUMMYFUNCTION("""COMPUTED_VALUE"""),46035.0)</f>
        <v>46035</v>
      </c>
      <c r="B48" s="48"/>
      <c r="C48" s="48"/>
      <c r="D48" s="48"/>
      <c r="E48" s="53" t="str">
        <f>IFERROR(__xludf.DUMMYFUNCTION("""COMPUTED_VALUE"""),"Coleta para Análise Qualitativa da Água (Gameleira e Poço Verde)")</f>
        <v>Coleta para Análise Qualitativa da Água (Gameleira e Poço Verde)</v>
      </c>
    </row>
    <row r="49">
      <c r="A49" s="54">
        <f>IFERROR(__xludf.DUMMYFUNCTION("""COMPUTED_VALUE"""),46036.0)</f>
        <v>46036</v>
      </c>
      <c r="B49" s="48"/>
      <c r="C49" s="48"/>
      <c r="D49" s="48"/>
      <c r="E49" s="53" t="str">
        <f>IFERROR(__xludf.DUMMYFUNCTION("""COMPUTED_VALUE"""),"Diagnóstico CG do açude Patos")</f>
        <v>Diagnóstico CG do açude Patos</v>
      </c>
    </row>
    <row r="50">
      <c r="A50" s="54">
        <f>IFERROR(__xludf.DUMMYFUNCTION("""COMPUTED_VALUE"""),46036.0)</f>
        <v>46036</v>
      </c>
      <c r="B50" s="48"/>
      <c r="C50" s="48"/>
      <c r="D50" s="48"/>
      <c r="E50" s="53" t="str">
        <f>IFERROR(__xludf.DUMMYFUNCTION("""COMPUTED_VALUE"""),"Apoio na limpeza do açude São Pedro da Timbaúba")</f>
        <v>Apoio na limpeza do açude São Pedro da Timbaúba</v>
      </c>
    </row>
    <row r="51">
      <c r="A51" s="54">
        <f>IFERROR(__xludf.DUMMYFUNCTION("""COMPUTED_VALUE"""),46036.0)</f>
        <v>46036</v>
      </c>
      <c r="B51" s="48"/>
      <c r="C51" s="48"/>
      <c r="D51" s="48"/>
      <c r="E51" s="53" t="str">
        <f>IFERROR(__xludf.DUMMYFUNCTION("""COMPUTED_VALUE"""),"Publicação Janeiro Branco")</f>
        <v>Publicação Janeiro Branco</v>
      </c>
    </row>
    <row r="52">
      <c r="A52" s="54">
        <f>IFERROR(__xludf.DUMMYFUNCTION("""COMPUTED_VALUE"""),46036.0)</f>
        <v>46036</v>
      </c>
      <c r="B52" s="48"/>
      <c r="C52" s="48"/>
      <c r="D52" s="48"/>
      <c r="E52" s="53" t="str">
        <f>IFERROR(__xludf.DUMMYFUNCTION("""COMPUTED_VALUE"""),"Prazo limite/final para providenciar e enviar as atividades programadas de fevereiro para GEPAR")</f>
        <v>Prazo limite/final para providenciar e enviar as atividades programadas de fevereiro para GEPAR</v>
      </c>
    </row>
    <row r="53">
      <c r="A53" s="54">
        <f>IFERROR(__xludf.DUMMYFUNCTION("""COMPUTED_VALUE"""),46036.0)</f>
        <v>46036</v>
      </c>
      <c r="B53" s="48"/>
      <c r="C53" s="48"/>
      <c r="D53" s="48"/>
      <c r="E53" s="53" t="str">
        <f>IFERROR(__xludf.DUMMYFUNCTION("""COMPUTED_VALUE"""),"Coleta para Análise Qualitativa da Água (Mundaú e Quandu)")</f>
        <v>Coleta para Análise Qualitativa da Água (Mundaú e Quandu)</v>
      </c>
    </row>
    <row r="54">
      <c r="A54" s="54">
        <f>IFERROR(__xludf.DUMMYFUNCTION("""COMPUTED_VALUE"""),46037.0)</f>
        <v>46037</v>
      </c>
      <c r="B54" s="48"/>
      <c r="C54" s="48"/>
      <c r="D54" s="48"/>
      <c r="E54" s="53" t="str">
        <f>IFERROR(__xludf.DUMMYFUNCTION("""COMPUTED_VALUE"""),"Apoio logístico para Fabiana Castro, vice-presidente do CBH Litoral")</f>
        <v>Apoio logístico para Fabiana Castro, vice-presidente do CBH Litoral</v>
      </c>
    </row>
    <row r="55">
      <c r="A55" s="54">
        <f>IFERROR(__xludf.DUMMYFUNCTION("""COMPUTED_VALUE"""),46037.0)</f>
        <v>46037</v>
      </c>
      <c r="B55" s="48"/>
      <c r="C55" s="48"/>
      <c r="D55" s="48"/>
      <c r="E55" s="53" t="str">
        <f>IFERROR(__xludf.DUMMYFUNCTION("""COMPUTED_VALUE"""),"1ª Reunião com a Diretoria do CBH Litoral")</f>
        <v>1ª Reunião com a Diretoria do CBH Litoral</v>
      </c>
    </row>
    <row r="56">
      <c r="A56" s="54">
        <f>IFERROR(__xludf.DUMMYFUNCTION("""COMPUTED_VALUE"""),46037.0)</f>
        <v>46037</v>
      </c>
      <c r="B56" s="48"/>
      <c r="C56" s="48"/>
      <c r="D56" s="48"/>
      <c r="E56" s="53" t="str">
        <f>IFERROR(__xludf.DUMMYFUNCTION("""COMPUTED_VALUE"""),"Produção de ata da 1ª Reunião com a  Diretoria do CBH Litoral")</f>
        <v>Produção de ata da 1ª Reunião com a  Diretoria do CBH Litoral</v>
      </c>
    </row>
    <row r="57">
      <c r="A57" s="54">
        <f>IFERROR(__xludf.DUMMYFUNCTION("""COMPUTED_VALUE"""),46037.0)</f>
        <v>46037</v>
      </c>
      <c r="B57" s="48"/>
      <c r="C57" s="48"/>
      <c r="D57" s="48"/>
      <c r="E57" s="53" t="str">
        <f>IFERROR(__xludf.DUMMYFUNCTION("""COMPUTED_VALUE"""),"Publicação de matéria e post sobre a 1ª Reunião com a Diretoria do CBH Litoral")</f>
        <v>Publicação de matéria e post sobre a 1ª Reunião com a Diretoria do CBH Litoral</v>
      </c>
    </row>
    <row r="58">
      <c r="A58" s="54">
        <f>IFERROR(__xludf.DUMMYFUNCTION("""COMPUTED_VALUE"""),46037.0)</f>
        <v>46037</v>
      </c>
      <c r="B58" s="48"/>
      <c r="C58" s="48"/>
      <c r="D58" s="48"/>
      <c r="E58" s="53" t="str">
        <f>IFERROR(__xludf.DUMMYFUNCTION("""COMPUTED_VALUE"""),"Produção de post com legenda sobre o Dia Internacional da Educação")</f>
        <v>Produção de post com legenda sobre o Dia Internacional da Educação</v>
      </c>
    </row>
    <row r="59">
      <c r="A59" s="54">
        <f>IFERROR(__xludf.DUMMYFUNCTION("""COMPUTED_VALUE"""),46037.0)</f>
        <v>46037</v>
      </c>
      <c r="B59" s="48"/>
      <c r="C59" s="48"/>
      <c r="D59" s="48"/>
      <c r="E59" s="53" t="str">
        <f>IFERROR(__xludf.DUMMYFUNCTION("""COMPUTED_VALUE"""),"Gravação sobre o Dia do Agente de Defesa Ambiental")</f>
        <v>Gravação sobre o Dia do Agente de Defesa Ambiental</v>
      </c>
    </row>
    <row r="60">
      <c r="A60" s="54">
        <f>IFERROR(__xludf.DUMMYFUNCTION("""COMPUTED_VALUE"""),46037.0)</f>
        <v>46037</v>
      </c>
      <c r="B60" s="48"/>
      <c r="C60" s="48"/>
      <c r="D60" s="48"/>
      <c r="E60" s="53" t="str">
        <f>IFERROR(__xludf.DUMMYFUNCTION("""COMPUTED_VALUE"""),"Produção de apresentação das atividades realizadas em 2024")</f>
        <v>Produção de apresentação das atividades realizadas em 2024</v>
      </c>
    </row>
    <row r="61">
      <c r="A61" s="54">
        <f>IFERROR(__xludf.DUMMYFUNCTION("""COMPUTED_VALUE"""),46037.0)</f>
        <v>46037</v>
      </c>
      <c r="B61" s="48"/>
      <c r="C61" s="48"/>
      <c r="D61" s="48"/>
      <c r="E61" s="53" t="str">
        <f>IFERROR(__xludf.DUMMYFUNCTION("""COMPUTED_VALUE"""),"Inserir dados das Coletas no SIGERH")</f>
        <v>Inserir dados das Coletas no SIGERH</v>
      </c>
    </row>
    <row r="62">
      <c r="A62" s="54">
        <f>IFERROR(__xludf.DUMMYFUNCTION("""COMPUTED_VALUE"""),46037.0)</f>
        <v>46037</v>
      </c>
      <c r="B62" s="48"/>
      <c r="C62" s="48"/>
      <c r="D62" s="48"/>
      <c r="E62" s="53" t="str">
        <f>IFERROR(__xludf.DUMMYFUNCTION("""COMPUTED_VALUE"""),"Instrumentação do açude Missi (Piezômetros)")</f>
        <v>Instrumentação do açude Missi (Piezômetros)</v>
      </c>
    </row>
    <row r="63">
      <c r="A63" s="54">
        <f>IFERROR(__xludf.DUMMYFUNCTION("""COMPUTED_VALUE"""),46037.0)</f>
        <v>46037</v>
      </c>
      <c r="B63" s="48"/>
      <c r="C63" s="48"/>
      <c r="D63" s="48"/>
      <c r="E63" s="53" t="str">
        <f>IFERROR(__xludf.DUMMYFUNCTION("""COMPUTED_VALUE"""),"Condensar informações do Diagnóstico do Açude Patos")</f>
        <v>Condensar informações do Diagnóstico do Açude Patos</v>
      </c>
    </row>
    <row r="64">
      <c r="A64" s="54">
        <f>IFERROR(__xludf.DUMMYFUNCTION("""COMPUTED_VALUE"""),46038.0)</f>
        <v>46038</v>
      </c>
      <c r="B64" s="48"/>
      <c r="C64" s="48"/>
      <c r="D64" s="48"/>
      <c r="E64" s="53" t="str">
        <f>IFERROR(__xludf.DUMMYFUNCTION("""COMPUTED_VALUE"""),"Providenciar CI para a 74ª Reunião Ordinária do CBH Litoral")</f>
        <v>Providenciar CI para a 74ª Reunião Ordinária do CBH Litoral</v>
      </c>
    </row>
    <row r="65">
      <c r="A65" s="54">
        <f>IFERROR(__xludf.DUMMYFUNCTION("""COMPUTED_VALUE"""),46038.0)</f>
        <v>46038</v>
      </c>
      <c r="B65" s="48"/>
      <c r="C65" s="48"/>
      <c r="D65" s="48"/>
      <c r="E65" s="53" t="str">
        <f>IFERROR(__xludf.DUMMYFUNCTION("""COMPUTED_VALUE"""),"Oficializar espaço para a 74ª Reunião Ordinária do CBH Litoral")</f>
        <v>Oficializar espaço para a 74ª Reunião Ordinária do CBH Litoral</v>
      </c>
    </row>
    <row r="66">
      <c r="A66" s="54">
        <f>IFERROR(__xludf.DUMMYFUNCTION("""COMPUTED_VALUE"""),46038.0)</f>
        <v>46038</v>
      </c>
      <c r="B66" s="48"/>
      <c r="C66" s="48"/>
      <c r="D66" s="48"/>
      <c r="E66" s="53" t="str">
        <f>IFERROR(__xludf.DUMMYFUNCTION("""COMPUTED_VALUE"""),"Organizar convocatórias para as mobilizações da 74ª Reunião Ordinária do CBH Litoral")</f>
        <v>Organizar convocatórias para as mobilizações da 74ª Reunião Ordinária do CBH Litoral</v>
      </c>
    </row>
    <row r="67">
      <c r="A67" s="54">
        <f>IFERROR(__xludf.DUMMYFUNCTION("""COMPUTED_VALUE"""),46038.0)</f>
        <v>46038</v>
      </c>
      <c r="B67" s="48"/>
      <c r="C67" s="48"/>
      <c r="D67" s="48"/>
      <c r="E67" s="53" t="str">
        <f>IFERROR(__xludf.DUMMYFUNCTION("""COMPUTED_VALUE"""),"Atualizar planilha da Gerência Regional com atividades programadas da semana")</f>
        <v>Atualizar planilha da Gerência Regional com atividades programadas da semana</v>
      </c>
    </row>
    <row r="68">
      <c r="A68" s="54">
        <f>IFERROR(__xludf.DUMMYFUNCTION("""COMPUTED_VALUE"""),46038.0)</f>
        <v>46038</v>
      </c>
      <c r="B68" s="48"/>
      <c r="C68" s="48"/>
      <c r="D68" s="48"/>
      <c r="E68" s="53" t="str">
        <f>IFERROR(__xludf.DUMMYFUNCTION("""COMPUTED_VALUE"""),"Atualizar planilha da Gestão Participativa com atividades programadas da semana")</f>
        <v>Atualizar planilha da Gestão Participativa com atividades programadas da semana</v>
      </c>
    </row>
    <row r="69">
      <c r="A69" s="54">
        <f>IFERROR(__xludf.DUMMYFUNCTION("""COMPUTED_VALUE"""),46038.0)</f>
        <v>46038</v>
      </c>
      <c r="B69" s="48"/>
      <c r="C69" s="48"/>
      <c r="D69" s="48"/>
      <c r="E69" s="53" t="str">
        <f>IFERROR(__xludf.DUMMYFUNCTION("""COMPUTED_VALUE"""),"Inspeção de Segurança Regular (Mundaú)")</f>
        <v>Inspeção de Segurança Regular (Mundaú)</v>
      </c>
    </row>
    <row r="70">
      <c r="A70" s="54">
        <f>IFERROR(__xludf.DUMMYFUNCTION("""COMPUTED_VALUE"""),46038.0)</f>
        <v>46038</v>
      </c>
      <c r="B70" s="48"/>
      <c r="C70" s="48"/>
      <c r="D70" s="48"/>
      <c r="E70" s="53" t="str">
        <f>IFERROR(__xludf.DUMMYFUNCTION("""COMPUTED_VALUE"""),"Vistoria de Usuários (Obtenção de novos usuários)")</f>
        <v>Vistoria de Usuários (Obtenção de novos usuários)</v>
      </c>
    </row>
    <row r="71">
      <c r="A71" s="54">
        <f>IFERROR(__xludf.DUMMYFUNCTION("""COMPUTED_VALUE"""),46038.0)</f>
        <v>46038</v>
      </c>
      <c r="B71" s="48"/>
      <c r="C71" s="48"/>
      <c r="D71" s="48"/>
      <c r="E71" s="53" t="str">
        <f>IFERROR(__xludf.DUMMYFUNCTION("""COMPUTED_VALUE"""),"Atualização dos dados de Captação e Perenização no SIGERH")</f>
        <v>Atualização dos dados de Captação e Perenização no SIGERH</v>
      </c>
    </row>
    <row r="72">
      <c r="A72" s="54">
        <f>IFERROR(__xludf.DUMMYFUNCTION("""COMPUTED_VALUE"""),46038.0)</f>
        <v>46038</v>
      </c>
      <c r="B72" s="48"/>
      <c r="C72" s="48"/>
      <c r="D72" s="48"/>
      <c r="E72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73">
      <c r="A73" s="54">
        <f>IFERROR(__xludf.DUMMYFUNCTION("""COMPUTED_VALUE"""),46039.0)</f>
        <v>46039</v>
      </c>
      <c r="B73" s="48"/>
      <c r="C73" s="48"/>
      <c r="D73" s="48"/>
      <c r="E73" s="53" t="str">
        <f>IFERROR(__xludf.DUMMYFUNCTION("""COMPUTED_VALUE"""),"Publicação de story sobre a emancipação política do Estado do Ceará")</f>
        <v>Publicação de story sobre a emancipação política do Estado do Ceará</v>
      </c>
    </row>
    <row r="74">
      <c r="A74" s="54">
        <f>IFERROR(__xludf.DUMMYFUNCTION("""COMPUTED_VALUE"""),46040.0)</f>
        <v>46040</v>
      </c>
      <c r="B74" s="48"/>
      <c r="C74" s="48"/>
      <c r="D74" s="48"/>
      <c r="E74" s="48"/>
    </row>
    <row r="75">
      <c r="A75" s="54">
        <f>IFERROR(__xludf.DUMMYFUNCTION("""COMPUTED_VALUE"""),46041.0)</f>
        <v>46041</v>
      </c>
      <c r="B75" s="48"/>
      <c r="C75" s="48"/>
      <c r="D75" s="48"/>
      <c r="E75" s="53" t="str">
        <f>IFERROR(__xludf.DUMMYFUNCTION("""COMPUTED_VALUE"""),"Inserir dados do Checklist no SIGERH (Mundaú)")</f>
        <v>Inserir dados do Checklist no SIGERH (Mundaú)</v>
      </c>
    </row>
    <row r="76">
      <c r="A76" s="54">
        <f>IFERROR(__xludf.DUMMYFUNCTION("""COMPUTED_VALUE"""),46041.0)</f>
        <v>46041</v>
      </c>
      <c r="B76" s="48"/>
      <c r="C76" s="48"/>
      <c r="D76" s="48"/>
      <c r="E76" s="53" t="str">
        <f>IFERROR(__xludf.DUMMYFUNCTION("""COMPUTED_VALUE"""),"Enviar frascos das Coletas aos Correios")</f>
        <v>Enviar frascos das Coletas aos Correios</v>
      </c>
    </row>
    <row r="77">
      <c r="A77" s="54">
        <f>IFERROR(__xludf.DUMMYFUNCTION("""COMPUTED_VALUE"""),46041.0)</f>
        <v>46041</v>
      </c>
      <c r="B77" s="48"/>
      <c r="C77" s="48"/>
      <c r="D77" s="48"/>
      <c r="E77" s="53" t="str">
        <f>IFERROR(__xludf.DUMMYFUNCTION("""COMPUTED_VALUE"""),"Acompanhamento das equipes do estudo sobre uso de poços")</f>
        <v>Acompanhamento das equipes do estudo sobre uso de poços</v>
      </c>
    </row>
    <row r="78">
      <c r="A78" s="54">
        <f>IFERROR(__xludf.DUMMYFUNCTION("""COMPUTED_VALUE"""),46042.0)</f>
        <v>46042</v>
      </c>
      <c r="B78" s="48"/>
      <c r="C78" s="48"/>
      <c r="D78" s="48"/>
      <c r="E78" s="53" t="str">
        <f>IFERROR(__xludf.DUMMYFUNCTION("""COMPUTED_VALUE"""),"FERIADO MUNICIPAL DE SÃO SEBASTIÃO")</f>
        <v>FERIADO MUNICIPAL DE SÃO SEBASTIÃO</v>
      </c>
    </row>
    <row r="79">
      <c r="A79" s="54">
        <f>IFERROR(__xludf.DUMMYFUNCTION("""COMPUTED_VALUE"""),46043.0)</f>
        <v>46043</v>
      </c>
      <c r="B79" s="48"/>
      <c r="C79" s="48"/>
      <c r="D79" s="48"/>
      <c r="E79" s="53" t="str">
        <f>IFERROR(__xludf.DUMMYFUNCTION("""COMPUTED_VALUE"""),"Publicação de post com legenda sobre 74ª Reunião Ordinária do CBH Litoral")</f>
        <v>Publicação de post com legenda sobre 74ª Reunião Ordinária do CBH Litoral</v>
      </c>
    </row>
    <row r="80">
      <c r="A80" s="54">
        <f>IFERROR(__xludf.DUMMYFUNCTION("""COMPUTED_VALUE"""),46043.0)</f>
        <v>46043</v>
      </c>
      <c r="B80" s="48"/>
      <c r="C80" s="48"/>
      <c r="D80" s="48"/>
      <c r="E80" s="53" t="str">
        <f>IFERROR(__xludf.DUMMYFUNCTION("""COMPUTED_VALUE"""),"Mobilização 74ª Reunião Ordinária do CBH Litoral ")</f>
        <v>Mobilização 74ª Reunião Ordinária do CBH Litoral </v>
      </c>
    </row>
    <row r="81">
      <c r="A81" s="54">
        <f>IFERROR(__xludf.DUMMYFUNCTION("""COMPUTED_VALUE"""),46043.0)</f>
        <v>46043</v>
      </c>
      <c r="B81" s="48"/>
      <c r="C81" s="48"/>
      <c r="D81" s="48"/>
      <c r="E81" s="53" t="str">
        <f>IFERROR(__xludf.DUMMYFUNCTION("""COMPUTED_VALUE"""),"Providenciar story sobre o Dia do Engenheiro Ambiental")</f>
        <v>Providenciar story sobre o Dia do Engenheiro Ambiental</v>
      </c>
    </row>
    <row r="82">
      <c r="A82" s="54">
        <f>IFERROR(__xludf.DUMMYFUNCTION("""COMPUTED_VALUE"""),46043.0)</f>
        <v>46043</v>
      </c>
      <c r="B82" s="48"/>
      <c r="C82" s="48"/>
      <c r="D82" s="48"/>
      <c r="E82" s="53" t="str">
        <f>IFERROR(__xludf.DUMMYFUNCTION("""COMPUTED_VALUE"""),"Acompanhamento de Trecho Perenizado (Quandú)")</f>
        <v>Acompanhamento de Trecho Perenizado (Quandú)</v>
      </c>
    </row>
    <row r="83">
      <c r="A83" s="54">
        <f>IFERROR(__xludf.DUMMYFUNCTION("""COMPUTED_VALUE"""),46043.0)</f>
        <v>46043</v>
      </c>
      <c r="B83" s="48"/>
      <c r="C83" s="48"/>
      <c r="D83" s="48"/>
      <c r="E83" s="53" t="str">
        <f>IFERROR(__xludf.DUMMYFUNCTION("""COMPUTED_VALUE"""),"Revisão das Inspeções de Segurança Regular")</f>
        <v>Revisão das Inspeções de Segurança Regular</v>
      </c>
    </row>
    <row r="84">
      <c r="A84" s="54">
        <f>IFERROR(__xludf.DUMMYFUNCTION("""COMPUTED_VALUE"""),46043.0)</f>
        <v>46043</v>
      </c>
      <c r="B84" s="48"/>
      <c r="C84" s="48"/>
      <c r="D84" s="48"/>
      <c r="E84" s="53" t="str">
        <f>IFERROR(__xludf.DUMMYFUNCTION("""COMPUTED_VALUE"""),"Acompanhamento das equipes do estudo sobre uso de poços")</f>
        <v>Acompanhamento das equipes do estudo sobre uso de poços</v>
      </c>
    </row>
    <row r="85">
      <c r="A85" s="54">
        <f>IFERROR(__xludf.DUMMYFUNCTION("""COMPUTED_VALUE"""),46044.0)</f>
        <v>46044</v>
      </c>
      <c r="B85" s="48"/>
      <c r="C85" s="48"/>
      <c r="D85" s="48"/>
      <c r="E85" s="53" t="str">
        <f>IFERROR(__xludf.DUMMYFUNCTION("""COMPUTED_VALUE"""),"Publicar story do aniversário da Sra. Cleonice Nascimento do Carmo (Conselho Indígena Tremembé de Itapipoca)")</f>
        <v>Publicar story do aniversário da Sra. Cleonice Nascimento do Carmo (Conselho Indígena Tremembé de Itapipoca)</v>
      </c>
    </row>
    <row r="86">
      <c r="A86" s="54">
        <f>IFERROR(__xludf.DUMMYFUNCTION("""COMPUTED_VALUE"""),46044.0)</f>
        <v>46044</v>
      </c>
      <c r="B86" s="48"/>
      <c r="C86" s="48"/>
      <c r="D86" s="48"/>
      <c r="E86" s="53" t="str">
        <f>IFERROR(__xludf.DUMMYFUNCTION("""COMPUTED_VALUE"""),"Mobilização 74ª Reunião Ordinária do CBH Litoral ")</f>
        <v>Mobilização 74ª Reunião Ordinária do CBH Litoral </v>
      </c>
    </row>
    <row r="87">
      <c r="A87" s="54">
        <f>IFERROR(__xludf.DUMMYFUNCTION("""COMPUTED_VALUE"""),46044.0)</f>
        <v>46044</v>
      </c>
      <c r="B87" s="48"/>
      <c r="C87" s="48"/>
      <c r="D87" s="48"/>
      <c r="E87" s="53" t="str">
        <f>IFERROR(__xludf.DUMMYFUNCTION("""COMPUTED_VALUE"""),"Produção de peça sobre a 2ª Reunião com a Diretoria do CBH Litoral ")</f>
        <v>Produção de peça sobre a 2ª Reunião com a Diretoria do CBH Litoral </v>
      </c>
    </row>
    <row r="88">
      <c r="A88" s="54">
        <f>IFERROR(__xludf.DUMMYFUNCTION("""COMPUTED_VALUE"""),46044.0)</f>
        <v>46044</v>
      </c>
      <c r="B88" s="48"/>
      <c r="C88" s="48"/>
      <c r="D88" s="48"/>
      <c r="E88" s="53" t="str">
        <f>IFERROR(__xludf.DUMMYFUNCTION("""COMPUTED_VALUE"""),"Vistoria (Cerca irregular no açude Poço Verde)")</f>
        <v>Vistoria (Cerca irregular no açude Poço Verde)</v>
      </c>
    </row>
    <row r="89">
      <c r="A89" s="54">
        <f>IFERROR(__xludf.DUMMYFUNCTION("""COMPUTED_VALUE"""),46044.0)</f>
        <v>46044</v>
      </c>
      <c r="B89" s="48"/>
      <c r="C89" s="48"/>
      <c r="D89" s="48"/>
      <c r="E89" s="53" t="str">
        <f>IFERROR(__xludf.DUMMYFUNCTION("""COMPUTED_VALUE"""),"Acompanhamento de Trecho Perenizado (Mundaú)")</f>
        <v>Acompanhamento de Trecho Perenizado (Mundaú)</v>
      </c>
    </row>
    <row r="90">
      <c r="A90" s="54">
        <f>IFERROR(__xludf.DUMMYFUNCTION("""COMPUTED_VALUE"""),46044.0)</f>
        <v>46044</v>
      </c>
      <c r="B90" s="48"/>
      <c r="C90" s="48"/>
      <c r="D90" s="48"/>
      <c r="E90" s="53" t="str">
        <f>IFERROR(__xludf.DUMMYFUNCTION("""COMPUTED_VALUE"""),"Acompanhamento das equipes do estudo sobre uso de poços")</f>
        <v>Acompanhamento das equipes do estudo sobre uso de poços</v>
      </c>
    </row>
    <row r="91">
      <c r="A91" s="54">
        <f>IFERROR(__xludf.DUMMYFUNCTION("""COMPUTED_VALUE"""),46044.0)</f>
        <v>46044</v>
      </c>
      <c r="B91" s="48"/>
      <c r="C91" s="48"/>
      <c r="D91" s="48"/>
      <c r="E91" s="53" t="str">
        <f>IFERROR(__xludf.DUMMYFUNCTION("""COMPUTED_VALUE"""),"Revisão das Inspeções de Segurança Regular")</f>
        <v>Revisão das Inspeções de Segurança Regular</v>
      </c>
    </row>
    <row r="92">
      <c r="A92" s="54">
        <f>IFERROR(__xludf.DUMMYFUNCTION("""COMPUTED_VALUE"""),46045.0)</f>
        <v>46045</v>
      </c>
      <c r="B92" s="48"/>
      <c r="C92" s="48"/>
      <c r="D92" s="48"/>
      <c r="E92" s="53" t="str">
        <f>IFERROR(__xludf.DUMMYFUNCTION("""COMPUTED_VALUE"""),"Mobilização 74ª Reunião Ordinária do CBH Litoral")</f>
        <v>Mobilização 74ª Reunião Ordinária do CBH Litoral</v>
      </c>
    </row>
    <row r="93">
      <c r="A93" s="54">
        <f>IFERROR(__xludf.DUMMYFUNCTION("""COMPUTED_VALUE"""),46045.0)</f>
        <v>46045</v>
      </c>
      <c r="B93" s="48"/>
      <c r="C93" s="48"/>
      <c r="D93" s="48"/>
      <c r="E93" s="53" t="str">
        <f>IFERROR(__xludf.DUMMYFUNCTION("""COMPUTED_VALUE"""),"Gravação aniversário de emancipação de Amontada")</f>
        <v>Gravação aniversário de emancipação de Amontada</v>
      </c>
    </row>
    <row r="94">
      <c r="A94" s="54">
        <f>IFERROR(__xludf.DUMMYFUNCTION("""COMPUTED_VALUE"""),46045.0)</f>
        <v>46045</v>
      </c>
      <c r="B94" s="48"/>
      <c r="C94" s="48"/>
      <c r="D94" s="48"/>
      <c r="E94" s="53" t="str">
        <f>IFERROR(__xludf.DUMMYFUNCTION("""COMPUTED_VALUE"""),"Atualizar planilha da Gerência Regional com atividades programadas da semana")</f>
        <v>Atualizar planilha da Gerência Regional com atividades programadas da semana</v>
      </c>
    </row>
    <row r="95">
      <c r="A95" s="54">
        <f>IFERROR(__xludf.DUMMYFUNCTION("""COMPUTED_VALUE"""),46045.0)</f>
        <v>46045</v>
      </c>
      <c r="B95" s="48"/>
      <c r="C95" s="48"/>
      <c r="D95" s="48"/>
      <c r="E95" s="53" t="str">
        <f>IFERROR(__xludf.DUMMYFUNCTION("""COMPUTED_VALUE"""),"Atualizar planilha da Gestão Participativa com atividades programadas da semana ")</f>
        <v>Atualizar planilha da Gestão Participativa com atividades programadas da semana </v>
      </c>
    </row>
    <row r="96">
      <c r="A96" s="54">
        <f>IFERROR(__xludf.DUMMYFUNCTION("""COMPUTED_VALUE"""),46045.0)</f>
        <v>46045</v>
      </c>
      <c r="B96" s="48"/>
      <c r="C96" s="48"/>
      <c r="D96" s="48"/>
      <c r="E96" s="53" t="str">
        <f>IFERROR(__xludf.DUMMYFUNCTION("""COMPUTED_VALUE"""),"Inspeçao de segurança Regular e Medição de Vazão (Sto Ant aracatiaçu)")</f>
        <v>Inspeçao de segurança Regular e Medição de Vazão (Sto Ant aracatiaçu)</v>
      </c>
    </row>
    <row r="97">
      <c r="A97" s="54">
        <f>IFERROR(__xludf.DUMMYFUNCTION("""COMPUTED_VALUE"""),46045.0)</f>
        <v>46045</v>
      </c>
      <c r="B97" s="48"/>
      <c r="C97" s="48"/>
      <c r="D97" s="48"/>
      <c r="E97" s="53" t="str">
        <f>IFERROR(__xludf.DUMMYFUNCTION("""COMPUTED_VALUE"""),"Atualização dos dados de Captação e Perenização no SIGERH")</f>
        <v>Atualização dos dados de Captação e Perenização no SIGERH</v>
      </c>
    </row>
    <row r="98">
      <c r="A98" s="54">
        <f>IFERROR(__xludf.DUMMYFUNCTION("""COMPUTED_VALUE"""),46045.0)</f>
        <v>46045</v>
      </c>
      <c r="B98" s="48"/>
      <c r="C98" s="48"/>
      <c r="D98" s="48"/>
      <c r="E98" s="53" t="str">
        <f>IFERROR(__xludf.DUMMYFUNCTION("""COMPUTED_VALUE"""),"Relatorio de acompanhamento de trecho do Quandu e Mundaú")</f>
        <v>Relatorio de acompanhamento de trecho do Quandu e Mundaú</v>
      </c>
    </row>
    <row r="99">
      <c r="A99" s="54">
        <f>IFERROR(__xludf.DUMMYFUNCTION("""COMPUTED_VALUE"""),46045.0)</f>
        <v>46045</v>
      </c>
      <c r="B99" s="48"/>
      <c r="C99" s="48"/>
      <c r="D99" s="48"/>
      <c r="E99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100">
      <c r="A100" s="54">
        <f>IFERROR(__xludf.DUMMYFUNCTION("""COMPUTED_VALUE"""),46045.0)</f>
        <v>46045</v>
      </c>
      <c r="B100" s="48"/>
      <c r="C100" s="48"/>
      <c r="D100" s="48"/>
      <c r="E100" s="53" t="str">
        <f>IFERROR(__xludf.DUMMYFUNCTION("""COMPUTED_VALUE"""),"Acompanhamento das equipes do estudo sobre uso de poços")</f>
        <v>Acompanhamento das equipes do estudo sobre uso de poços</v>
      </c>
    </row>
    <row r="101">
      <c r="A101" s="54">
        <f>IFERROR(__xludf.DUMMYFUNCTION("""COMPUTED_VALUE"""),46046.0)</f>
        <v>46046</v>
      </c>
      <c r="B101" s="48"/>
      <c r="C101" s="48"/>
      <c r="D101" s="48"/>
      <c r="E101" s="53" t="str">
        <f>IFERROR(__xludf.DUMMYFUNCTION("""COMPUTED_VALUE"""),"Publicar story sobre o Dia de Agente de Defesa Ambiental")</f>
        <v>Publicar story sobre o Dia de Agente de Defesa Ambiental</v>
      </c>
    </row>
    <row r="102">
      <c r="A102" s="54">
        <f>IFERROR(__xludf.DUMMYFUNCTION("""COMPUTED_VALUE"""),46047.0)</f>
        <v>46047</v>
      </c>
      <c r="B102" s="48"/>
      <c r="C102" s="48"/>
      <c r="D102" s="48"/>
      <c r="E102" s="48"/>
    </row>
    <row r="103">
      <c r="A103" s="54">
        <f>IFERROR(__xludf.DUMMYFUNCTION("""COMPUTED_VALUE"""),46048.0)</f>
        <v>46048</v>
      </c>
      <c r="B103" s="48"/>
      <c r="C103" s="48"/>
      <c r="D103" s="48"/>
      <c r="E103" s="53" t="str">
        <f>IFERROR(__xludf.DUMMYFUNCTION("""COMPUTED_VALUE"""),"Mobilização 74ª Reunião Ordinária do CBH Litoral E Gravação aniversário de emancipação de Itarema")</f>
        <v>Mobilização 74ª Reunião Ordinária do CBH Litoral E Gravação aniversário de emancipação de Itarema</v>
      </c>
    </row>
    <row r="104">
      <c r="A104" s="54">
        <f>IFERROR(__xludf.DUMMYFUNCTION("""COMPUTED_VALUE"""),46048.0)</f>
        <v>46048</v>
      </c>
      <c r="B104" s="48"/>
      <c r="C104" s="48"/>
      <c r="D104" s="48"/>
      <c r="E104" s="53" t="str">
        <f>IFERROR(__xludf.DUMMYFUNCTION("""COMPUTED_VALUE"""),"Publicação de reels sobre o Dia Internacional da Educação")</f>
        <v>Publicação de reels sobre o Dia Internacional da Educação</v>
      </c>
    </row>
    <row r="105">
      <c r="A105" s="54">
        <f>IFERROR(__xludf.DUMMYFUNCTION("""COMPUTED_VALUE"""),46048.0)</f>
        <v>46048</v>
      </c>
      <c r="B105" s="48"/>
      <c r="C105" s="48"/>
      <c r="D105" s="48"/>
      <c r="E105" s="53" t="str">
        <f>IFERROR(__xludf.DUMMYFUNCTION("""COMPUTED_VALUE"""),"inserção da ficha de Inspeção de Segurança Regular do açude Sto Ant aracatiaçu")</f>
        <v>inserção da ficha de Inspeção de Segurança Regular do açude Sto Ant aracatiaçu</v>
      </c>
    </row>
    <row r="106">
      <c r="A106" s="54">
        <f>IFERROR(__xludf.DUMMYFUNCTION("""COMPUTED_VALUE"""),46048.0)</f>
        <v>46048</v>
      </c>
      <c r="B106" s="48"/>
      <c r="C106" s="48"/>
      <c r="D106" s="48"/>
      <c r="E106" s="53" t="str">
        <f>IFERROR(__xludf.DUMMYFUNCTION("""COMPUTED_VALUE"""),"Acompanhamento de Trecho Perenizado (Gameleira)")</f>
        <v>Acompanhamento de Trecho Perenizado (Gameleira)</v>
      </c>
    </row>
    <row r="107">
      <c r="A107" s="54">
        <f>IFERROR(__xludf.DUMMYFUNCTION("""COMPUTED_VALUE"""),46049.0)</f>
        <v>46049</v>
      </c>
      <c r="B107" s="48"/>
      <c r="C107" s="48"/>
      <c r="D107" s="48"/>
      <c r="E107" s="53" t="str">
        <f>IFERROR(__xludf.DUMMYFUNCTION("""COMPUTED_VALUE"""),"Mobilização 74ª Reunião Ordinária do CBH Litoral")</f>
        <v>Mobilização 74ª Reunião Ordinária do CBH Litoral</v>
      </c>
    </row>
    <row r="108">
      <c r="A108" s="54">
        <f>IFERROR(__xludf.DUMMYFUNCTION("""COMPUTED_VALUE"""),46049.0)</f>
        <v>46049</v>
      </c>
      <c r="B108" s="48"/>
      <c r="C108" s="48"/>
      <c r="D108" s="48"/>
      <c r="E108" s="53" t="str">
        <f>IFERROR(__xludf.DUMMYFUNCTION("""COMPUTED_VALUE"""),"Checar calendário sazonal de fevereiro para planejamento de publicações")</f>
        <v>Checar calendário sazonal de fevereiro para planejamento de publicações</v>
      </c>
    </row>
    <row r="109">
      <c r="A109" s="54">
        <f>IFERROR(__xludf.DUMMYFUNCTION("""COMPUTED_VALUE"""),46049.0)</f>
        <v>46049</v>
      </c>
      <c r="B109" s="48"/>
      <c r="C109" s="48"/>
      <c r="D109" s="48"/>
      <c r="E109" s="53" t="str">
        <f>IFERROR(__xludf.DUMMYFUNCTION("""COMPUTED_VALUE"""),"Acompanhamento de Trecho Perenizado (Missi)")</f>
        <v>Acompanhamento de Trecho Perenizado (Missi)</v>
      </c>
    </row>
    <row r="110">
      <c r="A110" s="54">
        <f>IFERROR(__xludf.DUMMYFUNCTION("""COMPUTED_VALUE"""),46050.0)</f>
        <v>46050</v>
      </c>
      <c r="B110" s="48"/>
      <c r="C110" s="48"/>
      <c r="D110" s="48"/>
      <c r="E110" s="53" t="str">
        <f>IFERROR(__xludf.DUMMYFUNCTION("""COMPUTED_VALUE"""),"Mobilização 74ª Reunião Ordinária do CBH Litoral")</f>
        <v>Mobilização 74ª Reunião Ordinária do CBH Litoral</v>
      </c>
    </row>
    <row r="111">
      <c r="A111" s="54">
        <f>IFERROR(__xludf.DUMMYFUNCTION("""COMPUTED_VALUE"""),46050.0)</f>
        <v>46050</v>
      </c>
      <c r="B111" s="48"/>
      <c r="C111" s="48"/>
      <c r="D111" s="48"/>
      <c r="E111" s="53" t="str">
        <f>IFERROR(__xludf.DUMMYFUNCTION("""COMPUTED_VALUE"""),"Vistoria de Usuários e Medição de Vazão")</f>
        <v>Vistoria de Usuários e Medição de Vazão</v>
      </c>
    </row>
    <row r="112">
      <c r="A112" s="54">
        <f>IFERROR(__xludf.DUMMYFUNCTION("""COMPUTED_VALUE"""),46051.0)</f>
        <v>46051</v>
      </c>
      <c r="B112" s="48"/>
      <c r="C112" s="48"/>
      <c r="D112" s="48"/>
      <c r="E112" s="53" t="str">
        <f>IFERROR(__xludf.DUMMYFUNCTION("""COMPUTED_VALUE"""),"Monitoramento dos Poços e instalação de régua no açude São Pedro da Timbaúba")</f>
        <v>Monitoramento dos Poços e instalação de régua no açude São Pedro da Timbaúba</v>
      </c>
    </row>
    <row r="113">
      <c r="A113" s="54">
        <f>IFERROR(__xludf.DUMMYFUNCTION("""COMPUTED_VALUE"""),46051.0)</f>
        <v>46051</v>
      </c>
      <c r="B113" s="48"/>
      <c r="C113" s="48"/>
      <c r="D113" s="48"/>
      <c r="E113" s="53" t="str">
        <f>IFERROR(__xludf.DUMMYFUNCTION("""COMPUTED_VALUE"""),"Publicar story do aniversário da Sra. Maria Alexsandra da Mota (Instituto Renascer) ")</f>
        <v>Publicar story do aniversário da Sra. Maria Alexsandra da Mota (Instituto Renascer) </v>
      </c>
    </row>
    <row r="114">
      <c r="A114" s="54">
        <f>IFERROR(__xludf.DUMMYFUNCTION("""COMPUTED_VALUE"""),45686.0)</f>
        <v>45686</v>
      </c>
      <c r="B114" s="48"/>
      <c r="C114" s="48"/>
      <c r="D114" s="48"/>
      <c r="E114" s="53" t="str">
        <f>IFERROR(__xludf.DUMMYFUNCTION("""COMPUTED_VALUE"""),"Incluir programação de fevereiro no drive da Gestão Participativa e Gerência Regional")</f>
        <v>Incluir programação de fevereiro no drive da Gestão Participativa e Gerência Regional</v>
      </c>
    </row>
    <row r="115">
      <c r="A115" s="54">
        <f>IFERROR(__xludf.DUMMYFUNCTION("""COMPUTED_VALUE"""),46051.0)</f>
        <v>46051</v>
      </c>
      <c r="B115" s="48"/>
      <c r="C115" s="48"/>
      <c r="D115" s="48"/>
      <c r="E115" s="53" t="str">
        <f>IFERROR(__xludf.DUMMYFUNCTION("""COMPUTED_VALUE"""),"Produção de relatórios de Vistorias")</f>
        <v>Produção de relatórios de Vistorias</v>
      </c>
    </row>
    <row r="116">
      <c r="A116" s="54">
        <f>IFERROR(__xludf.DUMMYFUNCTION("""COMPUTED_VALUE"""),46051.0)</f>
        <v>46051</v>
      </c>
      <c r="B116" s="48"/>
      <c r="C116" s="48"/>
      <c r="D116" s="48"/>
      <c r="E116" s="53" t="str">
        <f>IFERROR(__xludf.DUMMYFUNCTION("""COMPUTED_VALUE"""),"Treinamento de sistemas do almoxarifado")</f>
        <v>Treinamento de sistemas do almoxarifado</v>
      </c>
    </row>
    <row r="117">
      <c r="A117" s="54">
        <f>IFERROR(__xludf.DUMMYFUNCTION("""COMPUTED_VALUE"""),46052.0)</f>
        <v>46052</v>
      </c>
      <c r="B117" s="48"/>
      <c r="C117" s="48"/>
      <c r="D117" s="48"/>
      <c r="E117" s="53" t="str">
        <f>IFERROR(__xludf.DUMMYFUNCTION("""COMPUTED_VALUE"""),"REUNIÃO INTERNA")</f>
        <v>REUNIÃO INTERNA</v>
      </c>
    </row>
    <row r="118">
      <c r="A118" s="54">
        <f>IFERROR(__xludf.DUMMYFUNCTION("""COMPUTED_VALUE"""),46052.0)</f>
        <v>46052</v>
      </c>
      <c r="B118" s="48"/>
      <c r="C118" s="48"/>
      <c r="D118" s="48"/>
      <c r="E118" s="53" t="str">
        <f>IFERROR(__xludf.DUMMYFUNCTION("""COMPUTED_VALUE"""),"Mobilização para a 2ª Reunião com a Diretoria do CBH Litoral")</f>
        <v>Mobilização para a 2ª Reunião com a Diretoria do CBH Litoral</v>
      </c>
    </row>
    <row r="119">
      <c r="A119" s="54">
        <f>IFERROR(__xludf.DUMMYFUNCTION("""COMPUTED_VALUE"""),46052.0)</f>
        <v>46052</v>
      </c>
      <c r="B119" s="48"/>
      <c r="C119" s="48"/>
      <c r="D119" s="48"/>
      <c r="E119" s="53" t="str">
        <f>IFERROR(__xludf.DUMMYFUNCTION("""COMPUTED_VALUE"""),"Providenciar agenda de fevereiro para o site do CBH Litoral")</f>
        <v>Providenciar agenda de fevereiro para o site do CBH Litoral</v>
      </c>
    </row>
    <row r="120">
      <c r="A120" s="54">
        <f>IFERROR(__xludf.DUMMYFUNCTION("""COMPUTED_VALUE"""),46052.0)</f>
        <v>46052</v>
      </c>
      <c r="B120" s="48"/>
      <c r="C120" s="48"/>
      <c r="D120" s="48"/>
      <c r="E120" s="53" t="str">
        <f>IFERROR(__xludf.DUMMYFUNCTION("""COMPUTED_VALUE"""),"Providenciar stories dos aniversariantes do mês de fevereiro")</f>
        <v>Providenciar stories dos aniversariantes do mês de fevereiro</v>
      </c>
    </row>
    <row r="121">
      <c r="A121" s="54">
        <f>IFERROR(__xludf.DUMMYFUNCTION("""COMPUTED_VALUE"""),46052.0)</f>
        <v>46052</v>
      </c>
      <c r="B121" s="48"/>
      <c r="C121" s="48"/>
      <c r="D121" s="48"/>
      <c r="E121" s="53" t="str">
        <f>IFERROR(__xludf.DUMMYFUNCTION("""COMPUTED_VALUE"""),"Atualização dos dados de Captação e Perenização no SIGERH")</f>
        <v>Atualização dos dados de Captação e Perenização no SIGERH</v>
      </c>
    </row>
    <row r="122">
      <c r="A122" s="54">
        <f>IFERROR(__xludf.DUMMYFUNCTION("""COMPUTED_VALUE"""),46052.0)</f>
        <v>46052</v>
      </c>
      <c r="B122" s="48"/>
      <c r="C122" s="48"/>
      <c r="D122" s="48"/>
      <c r="E122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123">
      <c r="A123" s="54">
        <f>IFERROR(__xludf.DUMMYFUNCTION("""COMPUTED_VALUE"""),46053.0)</f>
        <v>46053</v>
      </c>
      <c r="B123" s="48"/>
      <c r="C123" s="48"/>
      <c r="D123" s="48"/>
      <c r="E123" s="53" t="str">
        <f>IFERROR(__xludf.DUMMYFUNCTION("""COMPUTED_VALUE"""),"Publicação de story sobre o Dia do Engenheiro Ambiental")</f>
        <v>Publicação de story sobre o Dia do Engenheiro Ambiental</v>
      </c>
    </row>
    <row r="124">
      <c r="A124" s="54">
        <f>IFERROR(__xludf.DUMMYFUNCTION("""COMPUTED_VALUE"""),46054.0)</f>
        <v>46054</v>
      </c>
      <c r="B124" s="48"/>
      <c r="C124" s="48"/>
      <c r="D124" s="48"/>
      <c r="E124" s="48"/>
    </row>
    <row r="125">
      <c r="A125" s="54">
        <f>IFERROR(__xludf.DUMMYFUNCTION("""COMPUTED_VALUE"""),46055.0)</f>
        <v>46055</v>
      </c>
      <c r="B125" s="48"/>
      <c r="C125" s="48"/>
      <c r="D125" s="48"/>
      <c r="E125" s="53" t="str">
        <f>IFERROR(__xludf.DUMMYFUNCTION("""COMPUTED_VALUE"""),"Remover campanha de janeiro branco e dar início a campanha de carnaval")</f>
        <v>Remover campanha de janeiro branco e dar início a campanha de carnaval</v>
      </c>
    </row>
    <row r="126">
      <c r="A126" s="54">
        <f>IFERROR(__xludf.DUMMYFUNCTION("""COMPUTED_VALUE"""),46055.0)</f>
        <v>46055</v>
      </c>
      <c r="B126" s="48"/>
      <c r="C126" s="48"/>
      <c r="D126" s="48"/>
      <c r="E126" s="53" t="str">
        <f>IFERROR(__xludf.DUMMYFUNCTION("""COMPUTED_VALUE"""),"Publicação de story com calendário de fevereiro no Instagram do CBH Litoral")</f>
        <v>Publicação de story com calendário de fevereiro no Instagram do CBH Litoral</v>
      </c>
    </row>
    <row r="127">
      <c r="A127" s="54">
        <f>IFERROR(__xludf.DUMMYFUNCTION("""COMPUTED_VALUE"""),46055.0)</f>
        <v>46055</v>
      </c>
      <c r="B127" s="48"/>
      <c r="C127" s="48"/>
      <c r="D127" s="48"/>
      <c r="E127" s="53" t="str">
        <f>IFERROR(__xludf.DUMMYFUNCTION("""COMPUTED_VALUE"""),"Organizar documentos para mobilização e diagnóstico das CGs Missi e São Pedro da Timbaúba")</f>
        <v>Organizar documentos para mobilização e diagnóstico das CGs Missi e São Pedro da Timbaúba</v>
      </c>
    </row>
    <row r="128">
      <c r="A128" s="54">
        <f>IFERROR(__xludf.DUMMYFUNCTION("""COMPUTED_VALUE"""),46055.0)</f>
        <v>46055</v>
      </c>
      <c r="B128" s="48"/>
      <c r="C128" s="48"/>
      <c r="D128" s="48"/>
      <c r="E128" s="53" t="str">
        <f>IFERROR(__xludf.DUMMYFUNCTION("""COMPUTED_VALUE"""),"Contato com apoio nas mobilizações e diagnóstico das CGs Missi e São Pedro da Timbaúba")</f>
        <v>Contato com apoio nas mobilizações e diagnóstico das CGs Missi e São Pedro da Timbaúba</v>
      </c>
    </row>
    <row r="129">
      <c r="A129" s="54">
        <f>IFERROR(__xludf.DUMMYFUNCTION("""COMPUTED_VALUE"""),46055.0)</f>
        <v>46055</v>
      </c>
      <c r="B129" s="48"/>
      <c r="C129" s="48"/>
      <c r="D129" s="48"/>
      <c r="E129" s="53" t="str">
        <f>IFERROR(__xludf.DUMMYFUNCTION("""COMPUTED_VALUE"""),"Providenciar stories dos aniversariantes do mês de fevereiro do CBH Litoral")</f>
        <v>Providenciar stories dos aniversariantes do mês de fevereiro do CBH Litoral</v>
      </c>
    </row>
    <row r="130">
      <c r="A130" s="54">
        <f>IFERROR(__xludf.DUMMYFUNCTION("""COMPUTED_VALUE"""),46055.0)</f>
        <v>46055</v>
      </c>
      <c r="B130" s="48"/>
      <c r="C130" s="48"/>
      <c r="D130" s="48"/>
      <c r="E130" s="53" t="str">
        <f>IFERROR(__xludf.DUMMYFUNCTION("""COMPUTED_VALUE"""),"Produção de story sobre contagem regressiva para a 74ª Reunião Ordinária do CBH Litoral")</f>
        <v>Produção de story sobre contagem regressiva para a 74ª Reunião Ordinária do CBH Litoral</v>
      </c>
    </row>
    <row r="131">
      <c r="A131" s="54">
        <f>IFERROR(__xludf.DUMMYFUNCTION("""COMPUTED_VALUE"""),46055.0)</f>
        <v>46055</v>
      </c>
      <c r="B131" s="48"/>
      <c r="C131" s="48"/>
      <c r="D131" s="48"/>
      <c r="E131" s="53" t="str">
        <f>IFERROR(__xludf.DUMMYFUNCTION("""COMPUTED_VALUE"""),"Atividade Interna (Verificação dos Indicadores)")</f>
        <v>Atividade Interna (Verificação dos Indicadores)</v>
      </c>
    </row>
    <row r="132">
      <c r="A132" s="54">
        <f>IFERROR(__xludf.DUMMYFUNCTION("""COMPUTED_VALUE"""),46055.0)</f>
        <v>46055</v>
      </c>
      <c r="B132" s="48"/>
      <c r="C132" s="48"/>
      <c r="D132" s="48"/>
      <c r="E132" s="53" t="str">
        <f>IFERROR(__xludf.DUMMYFUNCTION("""COMPUTED_VALUE"""),"Inserção de diarias ")</f>
        <v>Inserção de diarias </v>
      </c>
    </row>
    <row r="133">
      <c r="A133" s="55">
        <f>IFERROR(__xludf.DUMMYFUNCTION("""COMPUTED_VALUE"""),46055.0)</f>
        <v>46055</v>
      </c>
      <c r="B133" s="48"/>
      <c r="C133" s="48"/>
      <c r="D133" s="48"/>
      <c r="E133" s="53" t="str">
        <f>IFERROR(__xludf.DUMMYFUNCTION("""COMPUTED_VALUE"""),"Apresentação final de operação 2026")</f>
        <v>Apresentação final de operação 2026</v>
      </c>
    </row>
    <row r="134">
      <c r="A134" s="55">
        <f>IFERROR(__xludf.DUMMYFUNCTION("""COMPUTED_VALUE"""),46055.0)</f>
        <v>46055</v>
      </c>
      <c r="B134" s="48"/>
      <c r="C134" s="48"/>
      <c r="D134" s="48"/>
      <c r="E134" s="53" t="str">
        <f>IFERROR(__xludf.DUMMYFUNCTION("""COMPUTED_VALUE"""),"simulações de esvaziamento da alocação emergencial")</f>
        <v>simulações de esvaziamento da alocação emergencial</v>
      </c>
    </row>
    <row r="135">
      <c r="A135" s="55">
        <f>IFERROR(__xludf.DUMMYFUNCTION("""COMPUTED_VALUE"""),46055.0)</f>
        <v>46055</v>
      </c>
      <c r="B135" s="48"/>
      <c r="C135" s="48"/>
      <c r="D135" s="48"/>
      <c r="E135" s="53" t="str">
        <f>IFERROR(__xludf.DUMMYFUNCTION("""COMPUTED_VALUE"""),"Apresentação de operação emergencial 2026")</f>
        <v>Apresentação de operação emergencial 2026</v>
      </c>
    </row>
    <row r="136">
      <c r="A136" s="55">
        <f>IFERROR(__xludf.DUMMYFUNCTION("""COMPUTED_VALUE"""),46055.0)</f>
        <v>46055</v>
      </c>
      <c r="B136" s="48"/>
      <c r="C136" s="48"/>
      <c r="D136" s="48"/>
      <c r="E136" s="53" t="str">
        <f>IFERROR(__xludf.DUMMYFUNCTION("""COMPUTED_VALUE"""),"Solicitação de combustivel")</f>
        <v>Solicitação de combustivel</v>
      </c>
    </row>
    <row r="137">
      <c r="A137" s="54">
        <f>IFERROR(__xludf.DUMMYFUNCTION("""COMPUTED_VALUE"""),46055.0)</f>
        <v>46055</v>
      </c>
      <c r="B137" s="48"/>
      <c r="C137" s="48"/>
      <c r="D137" s="48"/>
      <c r="E137" s="53" t="str">
        <f>IFERROR(__xludf.DUMMYFUNCTION("""COMPUTED_VALUE"""),"Vistoria de Usuários em itarema")</f>
        <v>Vistoria de Usuários em itarema</v>
      </c>
    </row>
    <row r="138">
      <c r="A138" s="54">
        <f>IFERROR(__xludf.DUMMYFUNCTION("""COMPUTED_VALUE"""),46055.0)</f>
        <v>46055</v>
      </c>
      <c r="B138" s="48"/>
      <c r="C138" s="48"/>
      <c r="D138" s="48"/>
      <c r="E138" s="53" t="str">
        <f>IFERROR(__xludf.DUMMYFUNCTION("""COMPUTED_VALUE"""),"Instrumentação do açude Missi (Piezômetros)")</f>
        <v>Instrumentação do açude Missi (Piezômetros)</v>
      </c>
    </row>
    <row r="139">
      <c r="A139" s="54">
        <f>IFERROR(__xludf.DUMMYFUNCTION("""COMPUTED_VALUE"""),46056.0)</f>
        <v>46056</v>
      </c>
      <c r="B139" s="48"/>
      <c r="C139" s="48"/>
      <c r="D139" s="48"/>
      <c r="E139" s="53" t="str">
        <f>IFERROR(__xludf.DUMMYFUNCTION("""COMPUTED_VALUE"""),"Mobilização para reunião de avaliação e Diagnóstico das CGs Missi e São Pedro da Timbaúba")</f>
        <v>Mobilização para reunião de avaliação e Diagnóstico das CGs Missi e São Pedro da Timbaúba</v>
      </c>
    </row>
    <row r="140">
      <c r="A140" s="54">
        <f>IFERROR(__xludf.DUMMYFUNCTION("""COMPUTED_VALUE"""),46056.0)</f>
        <v>46056</v>
      </c>
      <c r="B140" s="48"/>
      <c r="C140" s="48"/>
      <c r="D140" s="48"/>
      <c r="E140" s="53" t="str">
        <f>IFERROR(__xludf.DUMMYFUNCTION("""COMPUTED_VALUE"""),"Finalização da apresentação das atividades realizadas em 2025")</f>
        <v>Finalização da apresentação das atividades realizadas em 2025</v>
      </c>
    </row>
    <row r="141">
      <c r="A141" s="54">
        <f>IFERROR(__xludf.DUMMYFUNCTION("""COMPUTED_VALUE"""),46056.0)</f>
        <v>46056</v>
      </c>
      <c r="B141" s="48"/>
      <c r="C141" s="48"/>
      <c r="D141" s="48"/>
      <c r="E141" s="53" t="str">
        <f>IFERROR(__xludf.DUMMYFUNCTION("""COMPUTED_VALUE"""),"Providenciar roteiro para gravação do Dia Internacional da Mulher")</f>
        <v>Providenciar roteiro para gravação do Dia Internacional da Mulher</v>
      </c>
    </row>
    <row r="142">
      <c r="A142" s="54">
        <f>IFERROR(__xludf.DUMMYFUNCTION("""COMPUTED_VALUE"""),46056.0)</f>
        <v>46056</v>
      </c>
      <c r="B142" s="48"/>
      <c r="C142" s="48"/>
      <c r="D142" s="48"/>
      <c r="E142" s="53" t="str">
        <f>IFERROR(__xludf.DUMMYFUNCTION("""COMPUTED_VALUE"""),"Conferência de estoque ")</f>
        <v>Conferência de estoque </v>
      </c>
    </row>
    <row r="143">
      <c r="A143" s="54">
        <f>IFERROR(__xludf.DUMMYFUNCTION("""COMPUTED_VALUE"""),46056.0)</f>
        <v>46056</v>
      </c>
      <c r="B143" s="48"/>
      <c r="C143" s="48"/>
      <c r="D143" s="48"/>
      <c r="E143" s="53" t="str">
        <f>IFERROR(__xludf.DUMMYFUNCTION("""COMPUTED_VALUE"""),"Preenchimento de gestão  de frota ")</f>
        <v>Preenchimento de gestão  de frota </v>
      </c>
    </row>
    <row r="144">
      <c r="A144" s="54">
        <f>IFERROR(__xludf.DUMMYFUNCTION("""COMPUTED_VALUE"""),46056.0)</f>
        <v>46056</v>
      </c>
      <c r="B144" s="48"/>
      <c r="C144" s="48"/>
      <c r="D144" s="48"/>
      <c r="E144" s="53" t="str">
        <f>IFERROR(__xludf.DUMMYFUNCTION("""COMPUTED_VALUE"""),"Faturamento (Coleta das leituras dos hidrômetros)")</f>
        <v>Faturamento (Coleta das leituras dos hidrômetros)</v>
      </c>
    </row>
    <row r="145">
      <c r="A145" s="54">
        <f>IFERROR(__xludf.DUMMYFUNCTION("""COMPUTED_VALUE"""),46056.0)</f>
        <v>46056</v>
      </c>
      <c r="B145" s="48"/>
      <c r="C145" s="48"/>
      <c r="D145" s="48"/>
      <c r="E145" s="53" t="str">
        <f>IFERROR(__xludf.DUMMYFUNCTION("""COMPUTED_VALUE"""),"Treinamento na FUNCEME - Novo sistema de monitoramento do abastecimento hídrico (CISH)")</f>
        <v>Treinamento na FUNCEME - Novo sistema de monitoramento do abastecimento hídrico (CISH)</v>
      </c>
    </row>
    <row r="146">
      <c r="A146" s="54">
        <f>IFERROR(__xludf.DUMMYFUNCTION("""COMPUTED_VALUE"""),46057.0)</f>
        <v>46057</v>
      </c>
      <c r="B146" s="48"/>
      <c r="C146" s="48"/>
      <c r="D146" s="48"/>
      <c r="E146" s="53" t="str">
        <f>IFERROR(__xludf.DUMMYFUNCTION("""COMPUTED_VALUE"""),"Reunião dos Gerentes com a Supre")</f>
        <v>Reunião dos Gerentes com a Supre</v>
      </c>
    </row>
    <row r="147">
      <c r="A147" s="54">
        <f>IFERROR(__xludf.DUMMYFUNCTION("""COMPUTED_VALUE"""),46057.0)</f>
        <v>46057</v>
      </c>
      <c r="B147" s="48"/>
      <c r="C147" s="48"/>
      <c r="D147" s="48"/>
      <c r="E147" s="53" t="str">
        <f>IFERROR(__xludf.DUMMYFUNCTION("""COMPUTED_VALUE"""),"Mobilização para reunião de avaliação e Diagnóstico das CGs Missi e São Pedro da Timbaúba")</f>
        <v>Mobilização para reunião de avaliação e Diagnóstico das CGs Missi e São Pedro da Timbaúba</v>
      </c>
    </row>
    <row r="148">
      <c r="A148" s="54">
        <f>IFERROR(__xludf.DUMMYFUNCTION("""COMPUTED_VALUE"""),46057.0)</f>
        <v>46057</v>
      </c>
      <c r="B148" s="48"/>
      <c r="C148" s="48"/>
      <c r="D148" s="48"/>
      <c r="E148" s="53" t="str">
        <f>IFERROR(__xludf.DUMMYFUNCTION("""COMPUTED_VALUE"""),"Finalização da apresentação das atividades realizadas em 2025")</f>
        <v>Finalização da apresentação das atividades realizadas em 2025</v>
      </c>
    </row>
    <row r="149">
      <c r="A149" s="54">
        <f>IFERROR(__xludf.DUMMYFUNCTION("""COMPUTED_VALUE"""),46057.0)</f>
        <v>46057</v>
      </c>
      <c r="B149" s="48"/>
      <c r="C149" s="48"/>
      <c r="D149" s="48"/>
      <c r="E149" s="53" t="str">
        <f>IFERROR(__xludf.DUMMYFUNCTION("""COMPUTED_VALUE"""),"Publicação de reels “Águas do Litoral”")</f>
        <v>Publicação de reels “Águas do Litoral”</v>
      </c>
    </row>
    <row r="150">
      <c r="A150" s="54">
        <f>IFERROR(__xludf.DUMMYFUNCTION("""COMPUTED_VALUE"""),46057.0)</f>
        <v>46057</v>
      </c>
      <c r="B150" s="48"/>
      <c r="C150" s="48"/>
      <c r="D150" s="48"/>
      <c r="E150" s="53" t="str">
        <f>IFERROR(__xludf.DUMMYFUNCTION("""COMPUTED_VALUE"""),"Estudar estratégias de trends para as redes sociais do CBH Litoral")</f>
        <v>Estudar estratégias de trends para as redes sociais do CBH Litoral</v>
      </c>
    </row>
    <row r="151">
      <c r="A151" s="54">
        <f>IFERROR(__xludf.DUMMYFUNCTION("""COMPUTED_VALUE"""),46057.0)</f>
        <v>46057</v>
      </c>
      <c r="B151" s="48"/>
      <c r="C151" s="48"/>
      <c r="D151" s="48"/>
      <c r="E151" s="53" t="str">
        <f>IFERROR(__xludf.DUMMYFUNCTION("""COMPUTED_VALUE"""),"Produzir matéria sobre a 1ª Reunião Ordinária do FCCBH")</f>
        <v>Produzir matéria sobre a 1ª Reunião Ordinária do FCCBH</v>
      </c>
    </row>
    <row r="152">
      <c r="A152" s="54">
        <f>IFERROR(__xludf.DUMMYFUNCTION("""COMPUTED_VALUE"""),46057.0)</f>
        <v>46057</v>
      </c>
      <c r="B152" s="48"/>
      <c r="C152" s="48"/>
      <c r="D152" s="48"/>
      <c r="E152" s="53" t="str">
        <f>IFERROR(__xludf.DUMMYFUNCTION("""COMPUTED_VALUE"""),"Realizar prestação de conta de diarias ")</f>
        <v>Realizar prestação de conta de diarias </v>
      </c>
    </row>
    <row r="153">
      <c r="A153" s="54">
        <f>IFERROR(__xludf.DUMMYFUNCTION("""COMPUTED_VALUE"""),46057.0)</f>
        <v>46057</v>
      </c>
      <c r="B153" s="48"/>
      <c r="C153" s="48"/>
      <c r="D153" s="48"/>
      <c r="E153" s="53" t="str">
        <f>IFERROR(__xludf.DUMMYFUNCTION("""COMPUTED_VALUE"""),"Faturamento (Coleta das leituras dos hidrômetros)")</f>
        <v>Faturamento (Coleta das leituras dos hidrômetros)</v>
      </c>
    </row>
    <row r="154">
      <c r="A154" s="54">
        <f>IFERROR(__xludf.DUMMYFUNCTION("""COMPUTED_VALUE"""),46057.0)</f>
        <v>46057</v>
      </c>
      <c r="B154" s="48"/>
      <c r="C154" s="48"/>
      <c r="D154" s="48"/>
      <c r="E154" s="53" t="str">
        <f>IFERROR(__xludf.DUMMYFUNCTION("""COMPUTED_VALUE"""),"Atualização da planilha do indicador de Fiscalizações e Produção de relatórios de Vistoria em Usuários")</f>
        <v>Atualização da planilha do indicador de Fiscalizações e Produção de relatórios de Vistoria em Usuários</v>
      </c>
    </row>
    <row r="155">
      <c r="A155" s="55">
        <f>IFERROR(__xludf.DUMMYFUNCTION("""COMPUTED_VALUE"""),46057.0)</f>
        <v>46057</v>
      </c>
      <c r="B155" s="48"/>
      <c r="C155" s="48"/>
      <c r="D155" s="48"/>
      <c r="E155" s="53" t="str">
        <f>IFERROR(__xludf.DUMMYFUNCTION("""COMPUTED_VALUE"""),"Apresentação de operação emergencial 2026")</f>
        <v>Apresentação de operação emergencial 2026</v>
      </c>
    </row>
    <row r="156">
      <c r="A156" s="54">
        <f>IFERROR(__xludf.DUMMYFUNCTION("""COMPUTED_VALUE"""),46058.0)</f>
        <v>46058</v>
      </c>
      <c r="B156" s="48"/>
      <c r="C156" s="48"/>
      <c r="D156" s="48"/>
      <c r="E156" s="53" t="str">
        <f>IFERROR(__xludf.DUMMYFUNCTION("""COMPUTED_VALUE"""),"Mobilização para reunião de avaliação e Diagnóstico das CGs Missi e São Pedro da Timbaúba")</f>
        <v>Mobilização para reunião de avaliação e Diagnóstico das CGs Missi e São Pedro da Timbaúba</v>
      </c>
    </row>
    <row r="157">
      <c r="A157" s="54">
        <f>IFERROR(__xludf.DUMMYFUNCTION("""COMPUTED_VALUE"""),46058.0)</f>
        <v>46058</v>
      </c>
      <c r="B157" s="48"/>
      <c r="C157" s="48"/>
      <c r="D157" s="48"/>
      <c r="E157" s="53" t="str">
        <f>IFERROR(__xludf.DUMMYFUNCTION("""COMPUTED_VALUE"""),"Publicação de reels sobre os aniversários dos municípios de Itarema e Amontada")</f>
        <v>Publicação de reels sobre os aniversários dos municípios de Itarema e Amontada</v>
      </c>
    </row>
    <row r="158">
      <c r="A158" s="54">
        <f>IFERROR(__xludf.DUMMYFUNCTION("""COMPUTED_VALUE"""),46058.0)</f>
        <v>46058</v>
      </c>
      <c r="B158" s="48"/>
      <c r="C158" s="48"/>
      <c r="D158" s="48"/>
      <c r="E158" s="53" t="str">
        <f>IFERROR(__xludf.DUMMYFUNCTION("""COMPUTED_VALUE"""),"Produção de matéria sobre a 2ª Reunião com a Diretoria do CBH Litoral")</f>
        <v>Produção de matéria sobre a 2ª Reunião com a Diretoria do CBH Litoral</v>
      </c>
    </row>
    <row r="159">
      <c r="A159" s="54">
        <f>IFERROR(__xludf.DUMMYFUNCTION("""COMPUTED_VALUE"""),46058.0)</f>
        <v>46058</v>
      </c>
      <c r="B159" s="48"/>
      <c r="C159" s="48"/>
      <c r="D159" s="48"/>
      <c r="E159" s="53" t="str">
        <f>IFERROR(__xludf.DUMMYFUNCTION("""COMPUTED_VALUE"""),"Lançamento de notas fiscais no Protheus ")</f>
        <v>Lançamento de notas fiscais no Protheus </v>
      </c>
    </row>
    <row r="160">
      <c r="A160" s="54">
        <f>IFERROR(__xludf.DUMMYFUNCTION("""COMPUTED_VALUE"""),46058.0)</f>
        <v>46058</v>
      </c>
      <c r="B160" s="48"/>
      <c r="C160" s="48"/>
      <c r="D160" s="48"/>
      <c r="E160" s="53" t="str">
        <f>IFERROR(__xludf.DUMMYFUNCTION("""COMPUTED_VALUE"""),"Faturamento (Coleta das leituras dos hidrômetros)")</f>
        <v>Faturamento (Coleta das leituras dos hidrômetros)</v>
      </c>
    </row>
    <row r="161">
      <c r="A161" s="54">
        <f>IFERROR(__xludf.DUMMYFUNCTION("""COMPUTED_VALUE"""),46058.0)</f>
        <v>46058</v>
      </c>
      <c r="B161" s="48"/>
      <c r="C161" s="48"/>
      <c r="D161" s="48"/>
      <c r="E161" s="53" t="str">
        <f>IFERROR(__xludf.DUMMYFUNCTION("""COMPUTED_VALUE"""),"Produção de relatórios de renovação das C.G.’s")</f>
        <v>Produção de relatórios de renovação das C.G.’s</v>
      </c>
    </row>
    <row r="162">
      <c r="A162" s="54">
        <f>IFERROR(__xludf.DUMMYFUNCTION("""COMPUTED_VALUE"""),46059.0)</f>
        <v>46059</v>
      </c>
      <c r="B162" s="48"/>
      <c r="C162" s="48"/>
      <c r="D162" s="48"/>
      <c r="E162" s="53" t="str">
        <f>IFERROR(__xludf.DUMMYFUNCTION("""COMPUTED_VALUE"""),"Mobilização para reunião de avaliação e Diagnóstico das CGs Missi e São Pedro da Timbaúba")</f>
        <v>Mobilização para reunião de avaliação e Diagnóstico das CGs Missi e São Pedro da Timbaúba</v>
      </c>
    </row>
    <row r="163">
      <c r="A163" s="54">
        <f>IFERROR(__xludf.DUMMYFUNCTION("""COMPUTED_VALUE"""),46059.0)</f>
        <v>46059</v>
      </c>
      <c r="B163" s="48"/>
      <c r="C163" s="48"/>
      <c r="D163" s="48"/>
      <c r="E163" s="53" t="str">
        <f>IFERROR(__xludf.DUMMYFUNCTION("""COMPUTED_VALUE"""),"Publicação de reels sobre o Dia do Agente de Defesa Ambiental")</f>
        <v>Publicação de reels sobre o Dia do Agente de Defesa Ambiental</v>
      </c>
    </row>
    <row r="164">
      <c r="A164" s="54">
        <f>IFERROR(__xludf.DUMMYFUNCTION("""COMPUTED_VALUE"""),46059.0)</f>
        <v>46059</v>
      </c>
      <c r="B164" s="48"/>
      <c r="C164" s="48"/>
      <c r="D164" s="48"/>
      <c r="E164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165">
      <c r="A165" s="54">
        <f>IFERROR(__xludf.DUMMYFUNCTION("""COMPUTED_VALUE"""),46059.0)</f>
        <v>46059</v>
      </c>
      <c r="B165" s="48"/>
      <c r="C165" s="48"/>
      <c r="D165" s="48"/>
      <c r="E165" s="53" t="str">
        <f>IFERROR(__xludf.DUMMYFUNCTION("""COMPUTED_VALUE"""),"Realizar prestação de conta de diarias ")</f>
        <v>Realizar prestação de conta de diarias </v>
      </c>
    </row>
    <row r="166">
      <c r="A166" s="54">
        <f>IFERROR(__xludf.DUMMYFUNCTION("""COMPUTED_VALUE"""),46059.0)</f>
        <v>46059</v>
      </c>
      <c r="B166" s="48"/>
      <c r="C166" s="48"/>
      <c r="D166" s="48"/>
      <c r="E166" s="53" t="str">
        <f>IFERROR(__xludf.DUMMYFUNCTION("""COMPUTED_VALUE"""),"Faturamento (Coleta das leituras dos hidrômetros)")</f>
        <v>Faturamento (Coleta das leituras dos hidrômetros)</v>
      </c>
    </row>
    <row r="167">
      <c r="A167" s="54">
        <f>IFERROR(__xludf.DUMMYFUNCTION("""COMPUTED_VALUE"""),46059.0)</f>
        <v>46059</v>
      </c>
      <c r="B167" s="48"/>
      <c r="C167" s="48"/>
      <c r="D167" s="48"/>
      <c r="E167" s="53" t="str">
        <f>IFERROR(__xludf.DUMMYFUNCTION("""COMPUTED_VALUE"""),"Vistoria de Usuários")</f>
        <v>Vistoria de Usuários</v>
      </c>
    </row>
    <row r="168">
      <c r="A168" s="54">
        <f>IFERROR(__xludf.DUMMYFUNCTION("""COMPUTED_VALUE"""),46059.0)</f>
        <v>46059</v>
      </c>
      <c r="B168" s="48"/>
      <c r="C168" s="48"/>
      <c r="D168" s="48"/>
      <c r="E168" s="53" t="str">
        <f>IFERROR(__xludf.DUMMYFUNCTION("""COMPUTED_VALUE"""),"Atualização dos dados de Captação e Perenização no SIGERH")</f>
        <v>Atualização dos dados de Captação e Perenização no SIGERH</v>
      </c>
    </row>
    <row r="169">
      <c r="A169" s="54">
        <f>IFERROR(__xludf.DUMMYFUNCTION("""COMPUTED_VALUE"""),46059.0)</f>
        <v>46059</v>
      </c>
      <c r="B169" s="48"/>
      <c r="C169" s="48"/>
      <c r="D169" s="48"/>
      <c r="E169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170">
      <c r="A170" s="54">
        <f>IFERROR(__xludf.DUMMYFUNCTION("""COMPUTED_VALUE"""),46060.0)</f>
        <v>46060</v>
      </c>
      <c r="B170" s="48"/>
      <c r="C170" s="48"/>
      <c r="D170" s="48"/>
      <c r="E170" s="53" t="str">
        <f>IFERROR(__xludf.DUMMYFUNCTION("""COMPUTED_VALUE"""),"Publicar story do aniversário do Sr. José Ernando Alves de Sousa (Associação Comunitária do Sítio Baixa Grande)")</f>
        <v>Publicar story do aniversário do Sr. José Ernando Alves de Sousa (Associação Comunitária do Sítio Baixa Grande)</v>
      </c>
    </row>
    <row r="171">
      <c r="A171" s="54">
        <f>IFERROR(__xludf.DUMMYFUNCTION("""COMPUTED_VALUE"""),46061.0)</f>
        <v>46061</v>
      </c>
      <c r="B171" s="48"/>
      <c r="C171" s="48"/>
      <c r="D171" s="48"/>
      <c r="E171" s="53" t="str">
        <f>IFERROR(__xludf.DUMMYFUNCTION("""COMPUTED_VALUE"""),"Publicar story dp aniversário da Sra. Francisca Naiara Teixeira Leandro (Associação Comunitária Pró-Melhoramento de Fazenda Velha)")</f>
        <v>Publicar story dp aniversário da Sra. Francisca Naiara Teixeira Leandro (Associação Comunitária Pró-Melhoramento de Fazenda Velha)</v>
      </c>
    </row>
    <row r="172">
      <c r="A172" s="54">
        <f>IFERROR(__xludf.DUMMYFUNCTION("""COMPUTED_VALUE"""),46062.0)</f>
        <v>46062</v>
      </c>
      <c r="B172" s="48"/>
      <c r="C172" s="48"/>
      <c r="D172" s="48"/>
      <c r="E172" s="53" t="str">
        <f>IFERROR(__xludf.DUMMYFUNCTION("""COMPUTED_VALUE"""),"Mobilização para reunião de avaliação da operação do açude Gerardo Atimbone em 2025")</f>
        <v>Mobilização para reunião de avaliação da operação do açude Gerardo Atimbone em 2025</v>
      </c>
    </row>
    <row r="173">
      <c r="A173" s="54">
        <f>IFERROR(__xludf.DUMMYFUNCTION("""COMPUTED_VALUE"""),46062.0)</f>
        <v>46062</v>
      </c>
      <c r="B173" s="48"/>
      <c r="C173" s="48"/>
      <c r="D173" s="48"/>
      <c r="E173" s="53" t="str">
        <f>IFERROR(__xludf.DUMMYFUNCTION("""COMPUTED_VALUE"""),"Apoio logístico para a 1ª Reunião Ordinária do FCCBH")</f>
        <v>Apoio logístico para a 1ª Reunião Ordinária do FCCBH</v>
      </c>
    </row>
    <row r="174">
      <c r="A174" s="54">
        <f>IFERROR(__xludf.DUMMYFUNCTION("""COMPUTED_VALUE"""),46062.0)</f>
        <v>46062</v>
      </c>
      <c r="B174" s="48"/>
      <c r="C174" s="48"/>
      <c r="D174" s="48"/>
      <c r="E174" s="53" t="str">
        <f>IFERROR(__xludf.DUMMYFUNCTION("""COMPUTED_VALUE"""),"Inserção de diarias ")</f>
        <v>Inserção de diarias </v>
      </c>
    </row>
    <row r="175">
      <c r="A175" s="54">
        <f>IFERROR(__xludf.DUMMYFUNCTION("""COMPUTED_VALUE"""),46062.0)</f>
        <v>46062</v>
      </c>
      <c r="B175" s="48"/>
      <c r="C175" s="48"/>
      <c r="D175" s="48"/>
      <c r="E175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176">
      <c r="A176" s="54">
        <f>IFERROR(__xludf.DUMMYFUNCTION("""COMPUTED_VALUE"""),46062.0)</f>
        <v>46062</v>
      </c>
      <c r="B176" s="48"/>
      <c r="C176" s="48"/>
      <c r="D176" s="48"/>
      <c r="E176" s="53" t="str">
        <f>IFERROR(__xludf.DUMMYFUNCTION("""COMPUTED_VALUE"""),"Produção de relatórios de renovação das C.G.’s")</f>
        <v>Produção de relatórios de renovação das C.G.’s</v>
      </c>
    </row>
    <row r="177">
      <c r="A177" s="54">
        <f>IFERROR(__xludf.DUMMYFUNCTION("""COMPUTED_VALUE"""),46062.0)</f>
        <v>46062</v>
      </c>
      <c r="B177" s="48"/>
      <c r="C177" s="48"/>
      <c r="D177" s="48"/>
      <c r="E177" s="53" t="str">
        <f>IFERROR(__xludf.DUMMYFUNCTION("""COMPUTED_VALUE"""),"Atualização da planilha do indicador de Fiscalizações e Produção de relatórios de Vistoria em Usuários")</f>
        <v>Atualização da planilha do indicador de Fiscalizações e Produção de relatórios de Vistoria em Usuários</v>
      </c>
    </row>
    <row r="178">
      <c r="A178" s="54">
        <f>IFERROR(__xludf.DUMMYFUNCTION("""COMPUTED_VALUE"""),46063.0)</f>
        <v>46063</v>
      </c>
      <c r="B178" s="48"/>
      <c r="C178" s="48"/>
      <c r="D178" s="48"/>
      <c r="E178" s="53" t="str">
        <f>IFERROR(__xludf.DUMMYFUNCTION("""COMPUTED_VALUE"""),"1ª Reunião Ordinária do FCCBH")</f>
        <v>1ª Reunião Ordinária do FCCBH</v>
      </c>
    </row>
    <row r="179">
      <c r="A179" s="54">
        <f>IFERROR(__xludf.DUMMYFUNCTION("""COMPUTED_VALUE"""),46063.0)</f>
        <v>46063</v>
      </c>
      <c r="B179" s="48"/>
      <c r="C179" s="48"/>
      <c r="D179" s="48"/>
      <c r="E179" s="53" t="str">
        <f>IFERROR(__xludf.DUMMYFUNCTION("""COMPUTED_VALUE"""),"Cobertura midiática da 1ª Reunião Ordinária do FCCBH")</f>
        <v>Cobertura midiática da 1ª Reunião Ordinária do FCCBH</v>
      </c>
    </row>
    <row r="180">
      <c r="A180" s="54">
        <f>IFERROR(__xludf.DUMMYFUNCTION("""COMPUTED_VALUE"""),46063.0)</f>
        <v>46063</v>
      </c>
      <c r="B180" s="48"/>
      <c r="C180" s="48"/>
      <c r="D180" s="48"/>
      <c r="E180" s="53" t="str">
        <f>IFERROR(__xludf.DUMMYFUNCTION("""COMPUTED_VALUE"""),"Preenchimento de gestão  de frota ")</f>
        <v>Preenchimento de gestão  de frota </v>
      </c>
    </row>
    <row r="181">
      <c r="A181" s="54">
        <f>IFERROR(__xludf.DUMMYFUNCTION("""COMPUTED_VALUE"""),46063.0)</f>
        <v>46063</v>
      </c>
      <c r="B181" s="48"/>
      <c r="C181" s="48"/>
      <c r="D181" s="48"/>
      <c r="E181" s="53" t="str">
        <f>IFERROR(__xludf.DUMMYFUNCTION("""COMPUTED_VALUE"""),"Envio de frequencias ")</f>
        <v>Envio de frequencias </v>
      </c>
    </row>
    <row r="182">
      <c r="A182" s="54">
        <f>IFERROR(__xludf.DUMMYFUNCTION("""COMPUTED_VALUE"""),46063.0)</f>
        <v>46063</v>
      </c>
      <c r="B182" s="48"/>
      <c r="C182" s="48"/>
      <c r="D182" s="48"/>
      <c r="E182" s="53" t="str">
        <f>IFERROR(__xludf.DUMMYFUNCTION("""COMPUTED_VALUE"""),"Calibração da Sonda para as Coletas")</f>
        <v>Calibração da Sonda para as Coletas</v>
      </c>
    </row>
    <row r="183">
      <c r="A183" s="54">
        <f>IFERROR(__xludf.DUMMYFUNCTION("""COMPUTED_VALUE"""),46063.0)</f>
        <v>46063</v>
      </c>
      <c r="B183" s="48"/>
      <c r="C183" s="48"/>
      <c r="D183" s="48"/>
      <c r="E183" s="53" t="str">
        <f>IFERROR(__xludf.DUMMYFUNCTION("""COMPUTED_VALUE"""),"Faturamento (Atualizar dados do faturamento no sistema)")</f>
        <v>Faturamento (Atualizar dados do faturamento no sistema)</v>
      </c>
    </row>
    <row r="184">
      <c r="A184" s="54">
        <f>IFERROR(__xludf.DUMMYFUNCTION("""COMPUTED_VALUE"""),46064.0)</f>
        <v>46064</v>
      </c>
      <c r="B184" s="48"/>
      <c r="C184" s="48"/>
      <c r="D184" s="48"/>
      <c r="E184" s="53" t="str">
        <f>IFERROR(__xludf.DUMMYFUNCTION("""COMPUTED_VALUE"""),"1ª Reunião Ordinária do FCCBH")</f>
        <v>1ª Reunião Ordinária do FCCBH</v>
      </c>
    </row>
    <row r="185">
      <c r="A185" s="54">
        <f>IFERROR(__xludf.DUMMYFUNCTION("""COMPUTED_VALUE"""),46064.0)</f>
        <v>46064</v>
      </c>
      <c r="B185" s="48"/>
      <c r="C185" s="48"/>
      <c r="D185" s="48"/>
      <c r="E185" s="53" t="str">
        <f>IFERROR(__xludf.DUMMYFUNCTION("""COMPUTED_VALUE"""),"Cobertura midiática da 1ª Reunião Ordinária do FCCBH")</f>
        <v>Cobertura midiática da 1ª Reunião Ordinária do FCCBH</v>
      </c>
    </row>
    <row r="186">
      <c r="A186" s="54">
        <f>IFERROR(__xludf.DUMMYFUNCTION("""COMPUTED_VALUE"""),46064.0)</f>
        <v>46064</v>
      </c>
      <c r="B186" s="48"/>
      <c r="C186" s="48"/>
      <c r="D186" s="48"/>
      <c r="E186" s="53" t="str">
        <f>IFERROR(__xludf.DUMMYFUNCTION("""COMPUTED_VALUE"""),"Publicar matéria sobre a 1ª Reunião Ordinária do FCCBH")</f>
        <v>Publicar matéria sobre a 1ª Reunião Ordinária do FCCBH</v>
      </c>
    </row>
    <row r="187">
      <c r="A187" s="54">
        <f>IFERROR(__xludf.DUMMYFUNCTION("""COMPUTED_VALUE"""),46064.0)</f>
        <v>46064</v>
      </c>
      <c r="B187" s="48"/>
      <c r="C187" s="48"/>
      <c r="D187" s="48"/>
      <c r="E187" s="53" t="str">
        <f>IFERROR(__xludf.DUMMYFUNCTION("""COMPUTED_VALUE"""),"Realizar prestação de conta de diarias ")</f>
        <v>Realizar prestação de conta de diarias </v>
      </c>
    </row>
    <row r="188">
      <c r="A188" s="54">
        <f>IFERROR(__xludf.DUMMYFUNCTION("""COMPUTED_VALUE"""),46064.0)</f>
        <v>46064</v>
      </c>
      <c r="B188" s="48"/>
      <c r="C188" s="48"/>
      <c r="D188" s="48"/>
      <c r="E188" s="53" t="str">
        <f>IFERROR(__xludf.DUMMYFUNCTION("""COMPUTED_VALUE"""),"Coleta para Análise Qualitativa da Água (Patos e Santo Antonio de Aracatiaçu)")</f>
        <v>Coleta para Análise Qualitativa da Água (Patos e Santo Antonio de Aracatiaçu)</v>
      </c>
    </row>
    <row r="189">
      <c r="A189" s="54">
        <f>IFERROR(__xludf.DUMMYFUNCTION("""COMPUTED_VALUE"""),46064.0)</f>
        <v>46064</v>
      </c>
      <c r="B189" s="48"/>
      <c r="C189" s="48"/>
      <c r="D189" s="48"/>
      <c r="E189" s="53" t="str">
        <f>IFERROR(__xludf.DUMMYFUNCTION("""COMPUTED_VALUE"""),"Inserir dados das Coletas no SIGERH")</f>
        <v>Inserir dados das Coletas no SIGERH</v>
      </c>
    </row>
    <row r="190">
      <c r="A190" s="54">
        <f>IFERROR(__xludf.DUMMYFUNCTION("""COMPUTED_VALUE"""),46064.0)</f>
        <v>46064</v>
      </c>
      <c r="B190" s="48"/>
      <c r="C190" s="48"/>
      <c r="D190" s="48"/>
      <c r="E190" s="53" t="str">
        <f>IFERROR(__xludf.DUMMYFUNCTION("""COMPUTED_VALUE"""),"Enviar frascos das Coletas aos Correios")</f>
        <v>Enviar frascos das Coletas aos Correios</v>
      </c>
    </row>
    <row r="191">
      <c r="A191" s="54">
        <f>IFERROR(__xludf.DUMMYFUNCTION("""COMPUTED_VALUE"""),46065.0)</f>
        <v>46065</v>
      </c>
      <c r="B191" s="48"/>
      <c r="C191" s="48"/>
      <c r="D191" s="48"/>
      <c r="E191" s="53" t="str">
        <f>IFERROR(__xludf.DUMMYFUNCTION("""COMPUTED_VALUE"""),"2ª Reunião com a Diretoria do CBH Litoral")</f>
        <v>2ª Reunião com a Diretoria do CBH Litoral</v>
      </c>
    </row>
    <row r="192">
      <c r="A192" s="54">
        <f>IFERROR(__xludf.DUMMYFUNCTION("""COMPUTED_VALUE"""),46065.0)</f>
        <v>46065</v>
      </c>
      <c r="B192" s="48"/>
      <c r="C192" s="48"/>
      <c r="D192" s="48"/>
      <c r="E192" s="53" t="str">
        <f>IFERROR(__xludf.DUMMYFUNCTION("""COMPUTED_VALUE"""),"Produção de ata da 2ª Reunião com a Diretoria do CBH Litoral")</f>
        <v>Produção de ata da 2ª Reunião com a Diretoria do CBH Litoral</v>
      </c>
    </row>
    <row r="193">
      <c r="A193" s="54">
        <f>IFERROR(__xludf.DUMMYFUNCTION("""COMPUTED_VALUE"""),46065.0)</f>
        <v>46065</v>
      </c>
      <c r="B193" s="48"/>
      <c r="C193" s="48"/>
      <c r="D193" s="48"/>
      <c r="E193" s="53" t="str">
        <f>IFERROR(__xludf.DUMMYFUNCTION("""COMPUTED_VALUE"""),"Publicação de matéria e post sobre a 2ª Reunião com a Diretoria do CBH Litoral")</f>
        <v>Publicação de matéria e post sobre a 2ª Reunião com a Diretoria do CBH Litoral</v>
      </c>
    </row>
    <row r="194">
      <c r="A194" s="54">
        <f>IFERROR(__xludf.DUMMYFUNCTION("""COMPUTED_VALUE"""),46065.0)</f>
        <v>46065</v>
      </c>
      <c r="B194" s="48"/>
      <c r="C194" s="48"/>
      <c r="D194" s="48"/>
      <c r="E194" s="53" t="str">
        <f>IFERROR(__xludf.DUMMYFUNCTION("""COMPUTED_VALUE"""),"Mobilização para reunião de avaliação da operação do açude Gameleira em 2025")</f>
        <v>Mobilização para reunião de avaliação da operação do açude Gameleira em 2025</v>
      </c>
    </row>
    <row r="195">
      <c r="A195" s="54">
        <f>IFERROR(__xludf.DUMMYFUNCTION("""COMPUTED_VALUE"""),46065.0)</f>
        <v>46065</v>
      </c>
      <c r="B195" s="48"/>
      <c r="C195" s="48"/>
      <c r="D195" s="48"/>
      <c r="E195" s="53" t="str">
        <f>IFERROR(__xludf.DUMMYFUNCTION("""COMPUTED_VALUE"""),"Mobilização para reunião de avaliação da operação do açude Mundaú em 2025")</f>
        <v>Mobilização para reunião de avaliação da operação do açude Mundaú em 2025</v>
      </c>
    </row>
    <row r="196">
      <c r="A196" s="54">
        <f>IFERROR(__xludf.DUMMYFUNCTION("""COMPUTED_VALUE"""),46065.0)</f>
        <v>46065</v>
      </c>
      <c r="B196" s="48"/>
      <c r="C196" s="48"/>
      <c r="D196" s="48"/>
      <c r="E196" s="53" t="str">
        <f>IFERROR(__xludf.DUMMYFUNCTION("""COMPUTED_VALUE"""),"Condensar informações do Diagnóstico das CGs Missi e São Pedro da Timbaúba")</f>
        <v>Condensar informações do Diagnóstico das CGs Missi e São Pedro da Timbaúba</v>
      </c>
    </row>
    <row r="197">
      <c r="A197" s="54">
        <f>IFERROR(__xludf.DUMMYFUNCTION("""COMPUTED_VALUE"""),46065.0)</f>
        <v>46065</v>
      </c>
      <c r="B197" s="48"/>
      <c r="C197" s="48"/>
      <c r="D197" s="48"/>
      <c r="E197" s="53" t="str">
        <f>IFERROR(__xludf.DUMMYFUNCTION("""COMPUTED_VALUE"""),"Conferência de estoque ")</f>
        <v>Conferência de estoque </v>
      </c>
    </row>
    <row r="198">
      <c r="A198" s="54">
        <f>IFERROR(__xludf.DUMMYFUNCTION("""COMPUTED_VALUE"""),46065.0)</f>
        <v>46065</v>
      </c>
      <c r="B198" s="48"/>
      <c r="C198" s="48"/>
      <c r="D198" s="48"/>
      <c r="E198" s="53" t="str">
        <f>IFERROR(__xludf.DUMMYFUNCTION("""COMPUTED_VALUE"""),"Lançamento de notas fiscais no Protheus ")</f>
        <v>Lançamento de notas fiscais no Protheus </v>
      </c>
    </row>
    <row r="199">
      <c r="A199" s="54">
        <f>IFERROR(__xludf.DUMMYFUNCTION("""COMPUTED_VALUE"""),46066.0)</f>
        <v>46066</v>
      </c>
      <c r="B199" s="48"/>
      <c r="C199" s="48"/>
      <c r="D199" s="48"/>
      <c r="E199" s="53" t="str">
        <f>IFERROR(__xludf.DUMMYFUNCTION("""COMPUTED_VALUE"""),"Providenciar CIs para as reuniões de avaliação dos reservatórios")</f>
        <v>Providenciar CIs para as reuniões de avaliação dos reservatórios</v>
      </c>
    </row>
    <row r="200">
      <c r="A200" s="54">
        <f>IFERROR(__xludf.DUMMYFUNCTION("""COMPUTED_VALUE"""),46066.0)</f>
        <v>46066</v>
      </c>
      <c r="B200" s="48"/>
      <c r="C200" s="48"/>
      <c r="D200" s="48"/>
      <c r="E200" s="53" t="str">
        <f>IFERROR(__xludf.DUMMYFUNCTION("""COMPUTED_VALUE"""),"Prazo limite/final para providenciar e enviar as atividades programadas de março para GEPAR")</f>
        <v>Prazo limite/final para providenciar e enviar as atividades programadas de março para GEPAR</v>
      </c>
    </row>
    <row r="201">
      <c r="A201" s="54">
        <f>IFERROR(__xludf.DUMMYFUNCTION("""COMPUTED_VALUE"""),46066.0)</f>
        <v>46066</v>
      </c>
      <c r="B201" s="48"/>
      <c r="C201" s="48"/>
      <c r="D201" s="48"/>
      <c r="E201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202">
      <c r="A202" s="54">
        <f>IFERROR(__xludf.DUMMYFUNCTION("""COMPUTED_VALUE"""),46066.0)</f>
        <v>46066</v>
      </c>
      <c r="B202" s="48"/>
      <c r="C202" s="48"/>
      <c r="D202" s="48"/>
      <c r="E202" s="53" t="str">
        <f>IFERROR(__xludf.DUMMYFUNCTION("""COMPUTED_VALUE"""),"Condensar informações do Diagnóstico das CGs Missi e São Pedro da Timbaúba")</f>
        <v>Condensar informações do Diagnóstico das CGs Missi e São Pedro da Timbaúba</v>
      </c>
    </row>
    <row r="203">
      <c r="A203" s="54">
        <f>IFERROR(__xludf.DUMMYFUNCTION("""COMPUTED_VALUE"""),46066.0)</f>
        <v>46066</v>
      </c>
      <c r="B203" s="48"/>
      <c r="C203" s="48"/>
      <c r="D203" s="48"/>
      <c r="E203" s="53" t="str">
        <f>IFERROR(__xludf.DUMMYFUNCTION("""COMPUTED_VALUE"""),"Realizar prestação de conta de diarias ")</f>
        <v>Realizar prestação de conta de diarias </v>
      </c>
    </row>
    <row r="204">
      <c r="A204" s="54">
        <f>IFERROR(__xludf.DUMMYFUNCTION("""COMPUTED_VALUE"""),46066.0)</f>
        <v>46066</v>
      </c>
      <c r="B204" s="48"/>
      <c r="C204" s="48"/>
      <c r="D204" s="48"/>
      <c r="E204" s="53" t="str">
        <f>IFERROR(__xludf.DUMMYFUNCTION("""COMPUTED_VALUE"""),"Publicar story sobre Dicas de Carnaval nas redes sociais do CBH Litoral")</f>
        <v>Publicar story sobre Dicas de Carnaval nas redes sociais do CBH Litoral</v>
      </c>
    </row>
    <row r="205">
      <c r="A205" s="54">
        <f>IFERROR(__xludf.DUMMYFUNCTION("""COMPUTED_VALUE"""),46066.0)</f>
        <v>46066</v>
      </c>
      <c r="B205" s="48"/>
      <c r="C205" s="48"/>
      <c r="D205" s="48"/>
      <c r="E205" s="53" t="str">
        <f>IFERROR(__xludf.DUMMYFUNCTION("""COMPUTED_VALUE"""),"Atualização dos dados de Captação e Perenização no SIGERH")</f>
        <v>Atualização dos dados de Captação e Perenização no SIGERH</v>
      </c>
    </row>
    <row r="206">
      <c r="A206" s="54">
        <f>IFERROR(__xludf.DUMMYFUNCTION("""COMPUTED_VALUE"""),46066.0)</f>
        <v>46066</v>
      </c>
      <c r="B206" s="48"/>
      <c r="C206" s="48"/>
      <c r="D206" s="48"/>
      <c r="E206" s="53" t="str">
        <f>IFERROR(__xludf.DUMMYFUNCTION("""COMPUTED_VALUE"""),"Instrumentação dos açudes Missi e Poço Verde (Piezômetros e Medidores de Vazão de Percolação)")</f>
        <v>Instrumentação dos açudes Missi e Poço Verde (Piezômetros e Medidores de Vazão de Percolação)</v>
      </c>
    </row>
    <row r="207">
      <c r="A207" s="54">
        <f>IFERROR(__xludf.DUMMYFUNCTION("""COMPUTED_VALUE"""),46067.0)</f>
        <v>46067</v>
      </c>
      <c r="B207" s="48"/>
      <c r="C207" s="48"/>
      <c r="D207" s="48"/>
      <c r="E207" s="53" t="str">
        <f>IFERROR(__xludf.DUMMYFUNCTION("""COMPUTED_VALUE"""),"Publicar reels sobre dicas de carnaval nas redes sociais do CBH Litoral")</f>
        <v>Publicar reels sobre dicas de carnaval nas redes sociais do CBH Litoral</v>
      </c>
    </row>
    <row r="208">
      <c r="A208" s="54">
        <f>IFERROR(__xludf.DUMMYFUNCTION("""COMPUTED_VALUE"""),46068.0)</f>
        <v>46068</v>
      </c>
      <c r="B208" s="48"/>
      <c r="C208" s="48"/>
      <c r="D208" s="48"/>
      <c r="E208" s="48"/>
    </row>
    <row r="209">
      <c r="A209" s="54">
        <f>IFERROR(__xludf.DUMMYFUNCTION("""COMPUTED_VALUE"""),46069.0)</f>
        <v>46069</v>
      </c>
      <c r="B209" s="48"/>
      <c r="C209" s="48"/>
      <c r="D209" s="48"/>
      <c r="E209" s="53" t="str">
        <f>IFERROR(__xludf.DUMMYFUNCTION("""COMPUTED_VALUE"""),"Publicar story sobre dicas de carnaval nas redes sociais do CBH Litoral")</f>
        <v>Publicar story sobre dicas de carnaval nas redes sociais do CBH Litoral</v>
      </c>
    </row>
    <row r="210">
      <c r="A210" s="54">
        <f>IFERROR(__xludf.DUMMYFUNCTION("""COMPUTED_VALUE"""),46070.0)</f>
        <v>46070</v>
      </c>
      <c r="B210" s="48"/>
      <c r="C210" s="48"/>
      <c r="D210" s="48"/>
      <c r="E210" s="53" t="str">
        <f>IFERROR(__xludf.DUMMYFUNCTION("""COMPUTED_VALUE"""),"CARNAVAL")</f>
        <v>CARNAVAL</v>
      </c>
    </row>
    <row r="211">
      <c r="A211" s="54">
        <f>IFERROR(__xludf.DUMMYFUNCTION("""COMPUTED_VALUE"""),46071.0)</f>
        <v>46071</v>
      </c>
      <c r="B211" s="48"/>
      <c r="C211" s="48"/>
      <c r="D211" s="48"/>
      <c r="E211" s="53" t="str">
        <f>IFERROR(__xludf.DUMMYFUNCTION("""COMPUTED_VALUE"""),"QUARTA-FEIRA DE CINZAS")</f>
        <v>QUARTA-FEIRA DE CINZAS</v>
      </c>
    </row>
    <row r="212">
      <c r="A212" s="54">
        <f>IFERROR(__xludf.DUMMYFUNCTION("""COMPUTED_VALUE"""),46071.0)</f>
        <v>46071</v>
      </c>
      <c r="B212" s="48"/>
      <c r="C212" s="48"/>
      <c r="D212" s="48"/>
      <c r="E212" s="53" t="str">
        <f>IFERROR(__xludf.DUMMYFUNCTION("""COMPUTED_VALUE"""),"Publicar story sobre pós-carnaval nas redes sociais do CBH Litoral")</f>
        <v>Publicar story sobre pós-carnaval nas redes sociais do CBH Litoral</v>
      </c>
    </row>
    <row r="213">
      <c r="A213" s="54">
        <f>IFERROR(__xludf.DUMMYFUNCTION("""COMPUTED_VALUE"""),46072.0)</f>
        <v>46072</v>
      </c>
      <c r="B213" s="48"/>
      <c r="C213" s="48"/>
      <c r="D213" s="48"/>
      <c r="E213" s="53" t="str">
        <f>IFERROR(__xludf.DUMMYFUNCTION("""COMPUTED_VALUE"""),"Mobilização para reunião de avaliação da operação do açude Santa Maria de Aracatiaçu")</f>
        <v>Mobilização para reunião de avaliação da operação do açude Santa Maria de Aracatiaçu</v>
      </c>
    </row>
    <row r="214">
      <c r="A214" s="54">
        <f>IFERROR(__xludf.DUMMYFUNCTION("""COMPUTED_VALUE"""),46072.0)</f>
        <v>46072</v>
      </c>
      <c r="B214" s="48"/>
      <c r="C214" s="48"/>
      <c r="D214" s="48"/>
      <c r="E214" s="53" t="str">
        <f>IFERROR(__xludf.DUMMYFUNCTION("""COMPUTED_VALUE"""),"Publicar story do aniversário do Sr. Eudes Quinto de Sousa (Associação Comunitária de Comunicação e Cultura de Aracatiaçu)")</f>
        <v>Publicar story do aniversário do Sr. Eudes Quinto de Sousa (Associação Comunitária de Comunicação e Cultura de Aracatiaçu)</v>
      </c>
    </row>
    <row r="215">
      <c r="A215" s="54">
        <f>IFERROR(__xludf.DUMMYFUNCTION("""COMPUTED_VALUE"""),46072.0)</f>
        <v>46072</v>
      </c>
      <c r="B215" s="48"/>
      <c r="C215" s="48"/>
      <c r="D215" s="48"/>
      <c r="E215" s="53" t="str">
        <f>IFERROR(__xludf.DUMMYFUNCTION("""COMPUTED_VALUE"""),"Providenciar matéria para a 74ª Reunião Ordinária do CBH Litoral")</f>
        <v>Providenciar matéria para a 74ª Reunião Ordinária do CBH Litoral</v>
      </c>
    </row>
    <row r="216">
      <c r="A216" s="54">
        <f>IFERROR(__xludf.DUMMYFUNCTION("""COMPUTED_VALUE"""),46072.0)</f>
        <v>46072</v>
      </c>
      <c r="B216" s="48"/>
      <c r="C216" s="48"/>
      <c r="D216" s="48"/>
      <c r="E216" s="53" t="str">
        <f>IFERROR(__xludf.DUMMYFUNCTION("""COMPUTED_VALUE"""),"Programação das publicações das redes sociais do CBH Litoral para março")</f>
        <v>Programação das publicações das redes sociais do CBH Litoral para março</v>
      </c>
    </row>
    <row r="217">
      <c r="A217" s="54">
        <f>IFERROR(__xludf.DUMMYFUNCTION("""COMPUTED_VALUE"""),46072.0)</f>
        <v>46072</v>
      </c>
      <c r="B217" s="48"/>
      <c r="C217" s="48"/>
      <c r="D217" s="48"/>
      <c r="E217" s="53" t="str">
        <f>IFERROR(__xludf.DUMMYFUNCTION("""COMPUTED_VALUE"""),"Condensar informações do Diagnóstico das CGs Missi e São Pedro da Timbaúba")</f>
        <v>Condensar informações do Diagnóstico das CGs Missi e São Pedro da Timbaúba</v>
      </c>
    </row>
    <row r="218">
      <c r="A218" s="54">
        <f>IFERROR(__xludf.DUMMYFUNCTION("""COMPUTED_VALUE"""),46072.0)</f>
        <v>46072</v>
      </c>
      <c r="B218" s="48"/>
      <c r="C218" s="48"/>
      <c r="D218" s="48"/>
      <c r="E218" s="53" t="str">
        <f>IFERROR(__xludf.DUMMYFUNCTION("""COMPUTED_VALUE"""),"Lançamento de notas fiscais no Protheus ")</f>
        <v>Lançamento de notas fiscais no Protheus </v>
      </c>
    </row>
    <row r="219">
      <c r="A219" s="54">
        <f>IFERROR(__xludf.DUMMYFUNCTION("""COMPUTED_VALUE"""),46072.0)</f>
        <v>46072</v>
      </c>
      <c r="B219" s="48"/>
      <c r="C219" s="48"/>
      <c r="D219" s="48"/>
      <c r="E219" s="53" t="str">
        <f>IFERROR(__xludf.DUMMYFUNCTION("""COMPUTED_VALUE"""),"Visita Técnica e Medição de Vazão nas captações do açude Quandu")</f>
        <v>Visita Técnica e Medição de Vazão nas captações do açude Quandu</v>
      </c>
    </row>
    <row r="220">
      <c r="A220" s="54">
        <f>IFERROR(__xludf.DUMMYFUNCTION("""COMPUTED_VALUE"""),46073.0)</f>
        <v>46073</v>
      </c>
      <c r="B220" s="48"/>
      <c r="C220" s="48"/>
      <c r="D220" s="48"/>
      <c r="E220" s="53" t="str">
        <f>IFERROR(__xludf.DUMMYFUNCTION("""COMPUTED_VALUE"""),"Mobilização para reunião de avaliação da operação do açude Patos em 2025")</f>
        <v>Mobilização para reunião de avaliação da operação do açude Patos em 2025</v>
      </c>
    </row>
    <row r="221">
      <c r="A221" s="54">
        <f>IFERROR(__xludf.DUMMYFUNCTION("""COMPUTED_VALUE"""),46073.0)</f>
        <v>46073</v>
      </c>
      <c r="B221" s="48"/>
      <c r="C221" s="48"/>
      <c r="D221" s="48"/>
      <c r="E221" s="53" t="str">
        <f>IFERROR(__xludf.DUMMYFUNCTION("""COMPUTED_VALUE"""),"Produção de matérias sobre as reuniões de Avaliação da Operação 2025.2 dos açudes ")</f>
        <v>Produção de matérias sobre as reuniões de Avaliação da Operação 2025.2 dos açudes </v>
      </c>
    </row>
    <row r="222">
      <c r="A222" s="54">
        <f>IFERROR(__xludf.DUMMYFUNCTION("""COMPUTED_VALUE"""),46073.0)</f>
        <v>46073</v>
      </c>
      <c r="B222" s="48"/>
      <c r="C222" s="48"/>
      <c r="D222" s="48"/>
      <c r="E222" s="53" t="str">
        <f>IFERROR(__xludf.DUMMYFUNCTION("""COMPUTED_VALUE"""),"Retirada de material no almoxarifado")</f>
        <v>Retirada de material no almoxarifado</v>
      </c>
    </row>
    <row r="223">
      <c r="A223" s="54">
        <f>IFERROR(__xludf.DUMMYFUNCTION("""COMPUTED_VALUE"""),46073.0)</f>
        <v>46073</v>
      </c>
      <c r="B223" s="48"/>
      <c r="C223" s="48"/>
      <c r="D223" s="48"/>
      <c r="E223" s="53" t="str">
        <f>IFERROR(__xludf.DUMMYFUNCTION("""COMPUTED_VALUE"""),"Reunião com a GEMAN")</f>
        <v>Reunião com a GEMAN</v>
      </c>
    </row>
    <row r="224">
      <c r="A224" s="54">
        <f>IFERROR(__xludf.DUMMYFUNCTION("""COMPUTED_VALUE"""),46073.0)</f>
        <v>46073</v>
      </c>
      <c r="B224" s="48"/>
      <c r="C224" s="48"/>
      <c r="D224" s="48"/>
      <c r="E224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225">
      <c r="A225" s="54">
        <f>IFERROR(__xludf.DUMMYFUNCTION("""COMPUTED_VALUE"""),46073.0)</f>
        <v>46073</v>
      </c>
      <c r="B225" s="48"/>
      <c r="C225" s="48"/>
      <c r="D225" s="48"/>
      <c r="E225" s="53" t="str">
        <f>IFERROR(__xludf.DUMMYFUNCTION("""COMPUTED_VALUE"""),"Realizar prestação de conta de diarias ")</f>
        <v>Realizar prestação de conta de diarias </v>
      </c>
    </row>
    <row r="226">
      <c r="A226" s="54">
        <f>IFERROR(__xludf.DUMMYFUNCTION("""COMPUTED_VALUE"""),46073.0)</f>
        <v>46073</v>
      </c>
      <c r="B226" s="48"/>
      <c r="C226" s="48"/>
      <c r="D226" s="48"/>
      <c r="E226" s="53" t="str">
        <f>IFERROR(__xludf.DUMMYFUNCTION("""COMPUTED_VALUE"""),"Atualização dos dados de Captação e Perenização no SIGERH")</f>
        <v>Atualização dos dados de Captação e Perenização no SIGERH</v>
      </c>
    </row>
    <row r="227">
      <c r="A227" s="54">
        <f>IFERROR(__xludf.DUMMYFUNCTION("""COMPUTED_VALUE"""),46073.0)</f>
        <v>46073</v>
      </c>
      <c r="B227" s="48"/>
      <c r="C227" s="48"/>
      <c r="D227" s="48"/>
      <c r="E227" s="53" t="str">
        <f>IFERROR(__xludf.DUMMYFUNCTION("""COMPUTED_VALUE"""),"Treinamento sobre novo BI GEREU - Indicadores faturamento 2026")</f>
        <v>Treinamento sobre novo BI GEREU - Indicadores faturamento 2026</v>
      </c>
    </row>
    <row r="228">
      <c r="A228" s="54">
        <f>IFERROR(__xludf.DUMMYFUNCTION("""COMPUTED_VALUE"""),46073.0)</f>
        <v>46073</v>
      </c>
      <c r="B228" s="48"/>
      <c r="C228" s="48"/>
      <c r="D228" s="48"/>
      <c r="E228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229">
      <c r="A229" s="54">
        <f>IFERROR(__xludf.DUMMYFUNCTION("""COMPUTED_VALUE"""),46073.0)</f>
        <v>46073</v>
      </c>
      <c r="B229" s="48"/>
      <c r="C229" s="48"/>
      <c r="D229" s="48"/>
      <c r="E229" s="53" t="str">
        <f>IFERROR(__xludf.DUMMYFUNCTION("""COMPUTED_VALUE"""),"Reunião com equipe Cientista Chefe - apresentação de cenários do Mundaú ")</f>
        <v>Reunião com equipe Cientista Chefe - apresentação de cenários do Mundaú </v>
      </c>
    </row>
    <row r="230">
      <c r="A230" s="54">
        <f>IFERROR(__xludf.DUMMYFUNCTION("""COMPUTED_VALUE"""),46074.0)</f>
        <v>46074</v>
      </c>
      <c r="B230" s="48"/>
      <c r="C230" s="48"/>
      <c r="D230" s="48"/>
      <c r="E230" s="53" t="str">
        <f>IFERROR(__xludf.DUMMYFUNCTION("""COMPUTED_VALUE"""),"Publicar story de aniversário do Sr. Renan Vieira Rocha (FUNCEME)")</f>
        <v>Publicar story de aniversário do Sr. Renan Vieira Rocha (FUNCEME)</v>
      </c>
    </row>
    <row r="231">
      <c r="A231" s="54">
        <f>IFERROR(__xludf.DUMMYFUNCTION("""COMPUTED_VALUE"""),46075.0)</f>
        <v>46075</v>
      </c>
      <c r="B231" s="48"/>
      <c r="C231" s="48"/>
      <c r="D231" s="48"/>
      <c r="E231" s="48"/>
    </row>
    <row r="232">
      <c r="A232" s="54">
        <f>IFERROR(__xludf.DUMMYFUNCTION("""COMPUTED_VALUE"""),46076.0)</f>
        <v>46076</v>
      </c>
      <c r="B232" s="48"/>
      <c r="C232" s="48"/>
      <c r="D232" s="48"/>
      <c r="E232" s="53" t="str">
        <f>IFERROR(__xludf.DUMMYFUNCTION("""COMPUTED_VALUE"""),"Publicar story do aniversário da Sra. Inês Prata Girão (SRH)")</f>
        <v>Publicar story do aniversário da Sra. Inês Prata Girão (SRH)</v>
      </c>
    </row>
    <row r="233">
      <c r="A233" s="54">
        <f>IFERROR(__xludf.DUMMYFUNCTION("""COMPUTED_VALUE"""),46076.0)</f>
        <v>46076</v>
      </c>
      <c r="B233" s="48"/>
      <c r="C233" s="48"/>
      <c r="D233" s="48"/>
      <c r="E233" s="53" t="str">
        <f>IFERROR(__xludf.DUMMYFUNCTION("""COMPUTED_VALUE"""),"Mobilização para reunião de avaliação da operação do açude Santo Antônio de Aracatiaçu em 2025 ")</f>
        <v>Mobilização para reunião de avaliação da operação do açude Santo Antônio de Aracatiaçu em 2025 </v>
      </c>
    </row>
    <row r="234">
      <c r="A234" s="54">
        <f>IFERROR(__xludf.DUMMYFUNCTION("""COMPUTED_VALUE"""),46076.0)</f>
        <v>46076</v>
      </c>
      <c r="B234" s="48"/>
      <c r="C234" s="48"/>
      <c r="D234" s="48"/>
      <c r="E234" s="53" t="str">
        <f>IFERROR(__xludf.DUMMYFUNCTION("""COMPUTED_VALUE"""),"Elaboração do Relatório do Diagnóstico CG Missi e São Pedro da Timbaúba")</f>
        <v>Elaboração do Relatório do Diagnóstico CG Missi e São Pedro da Timbaúba</v>
      </c>
    </row>
    <row r="235">
      <c r="A235" s="54">
        <f>IFERROR(__xludf.DUMMYFUNCTION("""COMPUTED_VALUE"""),46076.0)</f>
        <v>46076</v>
      </c>
      <c r="B235" s="48"/>
      <c r="C235" s="48"/>
      <c r="D235" s="48"/>
      <c r="E235" s="53" t="str">
        <f>IFERROR(__xludf.DUMMYFUNCTION("""COMPUTED_VALUE"""),"Confirmações para a 74ª Reunião Ordinária do CBH Litoral")</f>
        <v>Confirmações para a 74ª Reunião Ordinária do CBH Litoral</v>
      </c>
    </row>
    <row r="236">
      <c r="A236" s="54">
        <f>IFERROR(__xludf.DUMMYFUNCTION("""COMPUTED_VALUE"""),46076.0)</f>
        <v>46076</v>
      </c>
      <c r="B236" s="48"/>
      <c r="C236" s="48"/>
      <c r="D236" s="48"/>
      <c r="E236" s="53" t="str">
        <f>IFERROR(__xludf.DUMMYFUNCTION("""COMPUTED_VALUE"""),"Providenciar stories dos aniversariantes do mês de março e confirmar aniversários")</f>
        <v>Providenciar stories dos aniversariantes do mês de março e confirmar aniversários</v>
      </c>
    </row>
    <row r="237">
      <c r="A237" s="54">
        <f>IFERROR(__xludf.DUMMYFUNCTION("""COMPUTED_VALUE"""),46076.0)</f>
        <v>46076</v>
      </c>
      <c r="B237" s="48"/>
      <c r="C237" s="48"/>
      <c r="D237" s="48"/>
      <c r="E237" s="53" t="str">
        <f>IFERROR(__xludf.DUMMYFUNCTION("""COMPUTED_VALUE"""),"Providenciar story com agenda de março")</f>
        <v>Providenciar story com agenda de março</v>
      </c>
    </row>
    <row r="238">
      <c r="A238" s="54">
        <f>IFERROR(__xludf.DUMMYFUNCTION("""COMPUTED_VALUE"""),46196.0)</f>
        <v>46196</v>
      </c>
      <c r="B238" s="48"/>
      <c r="C238" s="48"/>
      <c r="D238" s="48"/>
      <c r="E238" s="53" t="str">
        <f>IFERROR(__xludf.DUMMYFUNCTION("""COMPUTED_VALUE"""),"Inserção de diarias ")</f>
        <v>Inserção de diarias </v>
      </c>
    </row>
    <row r="239">
      <c r="A239" s="54">
        <f>IFERROR(__xludf.DUMMYFUNCTION("""COMPUTED_VALUE"""),46196.0)</f>
        <v>46196</v>
      </c>
      <c r="B239" s="48"/>
      <c r="C239" s="48"/>
      <c r="D239" s="48"/>
      <c r="E239" s="53" t="str">
        <f>IFERROR(__xludf.DUMMYFUNCTION("""COMPUTED_VALUE"""),"Preenchimento de gestão de frota ")</f>
        <v>Preenchimento de gestão de frota </v>
      </c>
    </row>
    <row r="240">
      <c r="A240" s="54">
        <f>IFERROR(__xludf.DUMMYFUNCTION("""COMPUTED_VALUE"""),46076.0)</f>
        <v>46076</v>
      </c>
      <c r="B240" s="48"/>
      <c r="C240" s="48"/>
      <c r="D240" s="48"/>
      <c r="E240" s="53" t="str">
        <f>IFERROR(__xludf.DUMMYFUNCTION("""COMPUTED_VALUE"""),"Visita Técnica ao açude Gameleira")</f>
        <v>Visita Técnica ao açude Gameleira</v>
      </c>
    </row>
    <row r="241">
      <c r="A241" s="54">
        <f>IFERROR(__xludf.DUMMYFUNCTION("""COMPUTED_VALUE"""),46077.0)</f>
        <v>46077</v>
      </c>
      <c r="B241" s="48"/>
      <c r="C241" s="48"/>
      <c r="D241" s="48"/>
      <c r="E241" s="53" t="str">
        <f>IFERROR(__xludf.DUMMYFUNCTION("""COMPUTED_VALUE"""),"Mobilização para reunião de avaliação da operação do açude Poço Verde em 2025")</f>
        <v>Mobilização para reunião de avaliação da operação do açude Poço Verde em 2025</v>
      </c>
    </row>
    <row r="242">
      <c r="A242" s="54">
        <f>IFERROR(__xludf.DUMMYFUNCTION("""COMPUTED_VALUE"""),46077.0)</f>
        <v>46077</v>
      </c>
      <c r="B242" s="48"/>
      <c r="C242" s="48"/>
      <c r="D242" s="48"/>
      <c r="E242" s="53" t="str">
        <f>IFERROR(__xludf.DUMMYFUNCTION("""COMPUTED_VALUE"""),"Elaboração do Relatório do Diagnóstico CG Missi e São Pedro da Timbaúba")</f>
        <v>Elaboração do Relatório do Diagnóstico CG Missi e São Pedro da Timbaúba</v>
      </c>
    </row>
    <row r="243">
      <c r="A243" s="54">
        <f>IFERROR(__xludf.DUMMYFUNCTION("""COMPUTED_VALUE"""),46077.0)</f>
        <v>46077</v>
      </c>
      <c r="B243" s="48"/>
      <c r="C243" s="48"/>
      <c r="D243" s="48"/>
      <c r="E243" s="53" t="str">
        <f>IFERROR(__xludf.DUMMYFUNCTION("""COMPUTED_VALUE"""),"Organização de documentos para a 74ª Reunião Ordinária do CBH Litoral")</f>
        <v>Organização de documentos para a 74ª Reunião Ordinária do CBH Litoral</v>
      </c>
    </row>
    <row r="244">
      <c r="A244" s="54">
        <f>IFERROR(__xludf.DUMMYFUNCTION("""COMPUTED_VALUE"""),46077.0)</f>
        <v>46077</v>
      </c>
      <c r="B244" s="48"/>
      <c r="C244" s="48"/>
      <c r="D244" s="48"/>
      <c r="E244" s="53" t="str">
        <f>IFERROR(__xludf.DUMMYFUNCTION("""COMPUTED_VALUE"""),"Enviar contrato referente a prestaçao de conta de aluguel")</f>
        <v>Enviar contrato referente a prestaçao de conta de aluguel</v>
      </c>
    </row>
    <row r="245">
      <c r="A245" s="54">
        <f>IFERROR(__xludf.DUMMYFUNCTION("""COMPUTED_VALUE"""),46077.0)</f>
        <v>46077</v>
      </c>
      <c r="B245" s="48"/>
      <c r="C245" s="48"/>
      <c r="D245" s="48"/>
      <c r="E245" s="53" t="str">
        <f>IFERROR(__xludf.DUMMYFUNCTION("""COMPUTED_VALUE"""),"Medição de Vazão na captação do São Pedro da Timbaúba e Monitoramento dos Poços")</f>
        <v>Medição de Vazão na captação do São Pedro da Timbaúba e Monitoramento dos Poços</v>
      </c>
    </row>
    <row r="246">
      <c r="A246" s="54">
        <f>IFERROR(__xludf.DUMMYFUNCTION("""COMPUTED_VALUE"""),46078.0)</f>
        <v>46078</v>
      </c>
      <c r="B246" s="48"/>
      <c r="C246" s="48"/>
      <c r="D246" s="48"/>
      <c r="E246" s="53" t="str">
        <f>IFERROR(__xludf.DUMMYFUNCTION("""COMPUTED_VALUE"""),"Publicar story do aniversário do Sr. Francisco Célio dos Santos (Associação para o Desenvolvimento Social e Cultural da Comunidade de Purão)")</f>
        <v>Publicar story do aniversário do Sr. Francisco Célio dos Santos (Associação para o Desenvolvimento Social e Cultural da Comunidade de Purão)</v>
      </c>
    </row>
    <row r="247">
      <c r="A247" s="54">
        <f>IFERROR(__xludf.DUMMYFUNCTION("""COMPUTED_VALUE"""),46078.0)</f>
        <v>46078</v>
      </c>
      <c r="B247" s="48"/>
      <c r="C247" s="48"/>
      <c r="D247" s="48"/>
      <c r="E247" s="53" t="str">
        <f>IFERROR(__xludf.DUMMYFUNCTION("""COMPUTED_VALUE"""),"Mobilização para reunião de avaliação da operação do açude Quandú em 2025")</f>
        <v>Mobilização para reunião de avaliação da operação do açude Quandú em 2025</v>
      </c>
    </row>
    <row r="248">
      <c r="A248" s="54">
        <f>IFERROR(__xludf.DUMMYFUNCTION("""COMPUTED_VALUE"""),46078.0)</f>
        <v>46078</v>
      </c>
      <c r="B248" s="48"/>
      <c r="C248" s="48"/>
      <c r="D248" s="48"/>
      <c r="E248" s="53" t="str">
        <f>IFERROR(__xludf.DUMMYFUNCTION("""COMPUTED_VALUE"""),"Incluir programação de março no drive da Gestão Participativa e Gerência Regional ")</f>
        <v>Incluir programação de março no drive da Gestão Participativa e Gerência Regional </v>
      </c>
    </row>
    <row r="249">
      <c r="A249" s="54">
        <f>IFERROR(__xludf.DUMMYFUNCTION("""COMPUTED_VALUE"""),46078.0)</f>
        <v>46078</v>
      </c>
      <c r="B249" s="48"/>
      <c r="C249" s="48"/>
      <c r="D249" s="48"/>
      <c r="E249" s="53" t="str">
        <f>IFERROR(__xludf.DUMMYFUNCTION("""COMPUTED_VALUE"""),"Organização do local de realização da 74ª Reunião Ordinária do CBH Litoral")</f>
        <v>Organização do local de realização da 74ª Reunião Ordinária do CBH Litoral</v>
      </c>
    </row>
    <row r="250">
      <c r="A250" s="54">
        <f>IFERROR(__xludf.DUMMYFUNCTION("""COMPUTED_VALUE"""),46078.0)</f>
        <v>46078</v>
      </c>
      <c r="B250" s="48"/>
      <c r="C250" s="48"/>
      <c r="D250" s="48"/>
      <c r="E250" s="53" t="str">
        <f>IFERROR(__xludf.DUMMYFUNCTION("""COMPUTED_VALUE"""),"Realizar prestação de conta de diarias ")</f>
        <v>Realizar prestação de conta de diarias </v>
      </c>
    </row>
    <row r="251">
      <c r="A251" s="54">
        <f>IFERROR(__xludf.DUMMYFUNCTION("""COMPUTED_VALUE"""),46078.0)</f>
        <v>46078</v>
      </c>
      <c r="B251" s="48"/>
      <c r="C251" s="48"/>
      <c r="D251" s="48"/>
      <c r="E251" s="53" t="str">
        <f>IFERROR(__xludf.DUMMYFUNCTION("""COMPUTED_VALUE"""),"FAG")</f>
        <v>FAG</v>
      </c>
    </row>
    <row r="252">
      <c r="A252" s="54">
        <f>IFERROR(__xludf.DUMMYFUNCTION("""COMPUTED_VALUE"""),46078.0)</f>
        <v>46078</v>
      </c>
      <c r="B252" s="48"/>
      <c r="C252" s="48"/>
      <c r="D252" s="48"/>
      <c r="E252" s="53" t="str">
        <f>IFERROR(__xludf.DUMMYFUNCTION("""COMPUTED_VALUE"""),"Medição de Vazão nas captações dos açudes Patos e Santo Antonio de Aracatiaçu")</f>
        <v>Medição de Vazão nas captações dos açudes Patos e Santo Antonio de Aracatiaçu</v>
      </c>
    </row>
    <row r="253">
      <c r="A253" s="55">
        <f>IFERROR(__xludf.DUMMYFUNCTION("""COMPUTED_VALUE"""),46078.0)</f>
        <v>46078</v>
      </c>
      <c r="B253" s="48"/>
      <c r="C253" s="48"/>
      <c r="D253" s="48"/>
      <c r="E253" s="53" t="str">
        <f>IFERROR(__xludf.DUMMYFUNCTION("""COMPUTED_VALUE"""),"Instalação de nova régua linminimetrica no açude Santo Antonio de Aracatiaçu")</f>
        <v>Instalação de nova régua linminimetrica no açude Santo Antonio de Aracatiaçu</v>
      </c>
    </row>
    <row r="254">
      <c r="A254" s="54">
        <f>IFERROR(__xludf.DUMMYFUNCTION("""COMPUTED_VALUE"""),46079.0)</f>
        <v>46079</v>
      </c>
      <c r="B254" s="48"/>
      <c r="C254" s="48"/>
      <c r="D254" s="48"/>
      <c r="E254" s="53" t="str">
        <f>IFERROR(__xludf.DUMMYFUNCTION("""COMPUTED_VALUE"""),"Apoio logístico aos membros do CBH Litoral para a 74ª Reunião Ordinária (Célio)")</f>
        <v>Apoio logístico aos membros do CBH Litoral para a 74ª Reunião Ordinária (Célio)</v>
      </c>
    </row>
    <row r="255">
      <c r="A255" s="54">
        <f>IFERROR(__xludf.DUMMYFUNCTION("""COMPUTED_VALUE"""),46079.0)</f>
        <v>46079</v>
      </c>
      <c r="B255" s="48"/>
      <c r="C255" s="48"/>
      <c r="D255" s="48"/>
      <c r="E255" s="53" t="str">
        <f>IFERROR(__xludf.DUMMYFUNCTION("""COMPUTED_VALUE"""),"Apoio logístico aos membros do CBH Litoral para a 74ª Reunião Ordinária (Teúnas e Antônio Carlos)")</f>
        <v>Apoio logístico aos membros do CBH Litoral para a 74ª Reunião Ordinária (Teúnas e Antônio Carlos)</v>
      </c>
    </row>
    <row r="256">
      <c r="A256" s="54">
        <f>IFERROR(__xludf.DUMMYFUNCTION("""COMPUTED_VALUE"""),46079.0)</f>
        <v>46079</v>
      </c>
      <c r="B256" s="48"/>
      <c r="C256" s="48"/>
      <c r="D256" s="48"/>
      <c r="E256" s="53" t="str">
        <f>IFERROR(__xludf.DUMMYFUNCTION("""COMPUTED_VALUE"""),"74ª Reunião Ordinária do CBH Litoral")</f>
        <v>74ª Reunião Ordinária do CBH Litoral</v>
      </c>
    </row>
    <row r="257">
      <c r="A257" s="54">
        <f>IFERROR(__xludf.DUMMYFUNCTION("""COMPUTED_VALUE"""),46079.0)</f>
        <v>46079</v>
      </c>
      <c r="B257" s="48"/>
      <c r="C257" s="48"/>
      <c r="D257" s="48"/>
      <c r="E257" s="53" t="str">
        <f>IFERROR(__xludf.DUMMYFUNCTION("""COMPUTED_VALUE"""),"Publicação de matéria sobre a 74ª Reunião Ordinária do CBH Litoral")</f>
        <v>Publicação de matéria sobre a 74ª Reunião Ordinária do CBH Litoral</v>
      </c>
    </row>
    <row r="258">
      <c r="A258" s="54">
        <f>IFERROR(__xludf.DUMMYFUNCTION("""COMPUTED_VALUE"""),46079.0)</f>
        <v>46079</v>
      </c>
      <c r="B258" s="48"/>
      <c r="C258" s="48"/>
      <c r="D258" s="48"/>
      <c r="E258" s="53" t="str">
        <f>IFERROR(__xludf.DUMMYFUNCTION("""COMPUTED_VALUE"""),"Gravação de vídeo sobre o Dia Internacional da Mulher")</f>
        <v>Gravação de vídeo sobre o Dia Internacional da Mulher</v>
      </c>
    </row>
    <row r="259">
      <c r="A259" s="54">
        <f>IFERROR(__xludf.DUMMYFUNCTION("""COMPUTED_VALUE"""),46079.0)</f>
        <v>46079</v>
      </c>
      <c r="B259" s="48"/>
      <c r="C259" s="48"/>
      <c r="D259" s="48"/>
      <c r="E259" s="53" t="str">
        <f>IFERROR(__xludf.DUMMYFUNCTION("""COMPUTED_VALUE"""),"Gravação do quadro “Fala Litoral”")</f>
        <v>Gravação do quadro “Fala Litoral”</v>
      </c>
    </row>
    <row r="260">
      <c r="A260" s="54">
        <f>IFERROR(__xludf.DUMMYFUNCTION("""COMPUTED_VALUE"""),46079.0)</f>
        <v>46079</v>
      </c>
      <c r="B260" s="48"/>
      <c r="C260" s="48"/>
      <c r="D260" s="48"/>
      <c r="E260" s="53" t="str">
        <f>IFERROR(__xludf.DUMMYFUNCTION("""COMPUTED_VALUE"""),"Solitação de materiais ao Almoxarifado")</f>
        <v>Solitação de materiais ao Almoxarifado</v>
      </c>
    </row>
    <row r="261">
      <c r="A261" s="54">
        <f>IFERROR(__xludf.DUMMYFUNCTION("""COMPUTED_VALUE"""),46079.0)</f>
        <v>46079</v>
      </c>
      <c r="B261" s="48"/>
      <c r="C261" s="48"/>
      <c r="D261" s="48"/>
      <c r="E261" s="53" t="str">
        <f>IFERROR(__xludf.DUMMYFUNCTION("""COMPUTED_VALUE"""),"Atualizar planilha com dados do Monitoramento dos Poços")</f>
        <v>Atualizar planilha com dados do Monitoramento dos Poços</v>
      </c>
    </row>
    <row r="262">
      <c r="A262" s="54">
        <f>IFERROR(__xludf.DUMMYFUNCTION("""COMPUTED_VALUE"""),46080.0)</f>
        <v>46080</v>
      </c>
      <c r="B262" s="48"/>
      <c r="C262" s="48"/>
      <c r="D262" s="48"/>
      <c r="E262" s="53" t="str">
        <f>IFERROR(__xludf.DUMMYFUNCTION("""COMPUTED_VALUE"""),"Reunião Interna")</f>
        <v>Reunião Interna</v>
      </c>
    </row>
    <row r="263">
      <c r="A263" s="54">
        <f>IFERROR(__xludf.DUMMYFUNCTION("""COMPUTED_VALUE"""),46080.0)</f>
        <v>46080</v>
      </c>
      <c r="B263" s="48"/>
      <c r="C263" s="48"/>
      <c r="D263" s="48"/>
      <c r="E263" s="53" t="str">
        <f>IFERROR(__xludf.DUMMYFUNCTION("""COMPUTED_VALUE"""),"Produção de parecer técnico da 74ª Reunião Ordinária do CBH Litoral")</f>
        <v>Produção de parecer técnico da 74ª Reunião Ordinária do CBH Litoral</v>
      </c>
    </row>
    <row r="264">
      <c r="A264" s="54">
        <f>IFERROR(__xludf.DUMMYFUNCTION("""COMPUTED_VALUE"""),46080.0)</f>
        <v>46080</v>
      </c>
      <c r="B264" s="48"/>
      <c r="C264" s="48"/>
      <c r="D264" s="48"/>
      <c r="E264" s="53" t="str">
        <f>IFERROR(__xludf.DUMMYFUNCTION("""COMPUTED_VALUE"""),"Produção de declarações da 74ª Reunião Ordinária do CBH Litoral")</f>
        <v>Produção de declarações da 74ª Reunião Ordinária do CBH Litoral</v>
      </c>
    </row>
    <row r="265">
      <c r="A265" s="54">
        <f>IFERROR(__xludf.DUMMYFUNCTION("""COMPUTED_VALUE"""),46080.0)</f>
        <v>46080</v>
      </c>
      <c r="B265" s="48"/>
      <c r="C265" s="48"/>
      <c r="D265" s="48"/>
      <c r="E265" s="53" t="str">
        <f>IFERROR(__xludf.DUMMYFUNCTION("""COMPUTED_VALUE"""),"Produção de ata da 74ª Reunião Ordinária do CBH Litoral")</f>
        <v>Produção de ata da 74ª Reunião Ordinária do CBH Litoral</v>
      </c>
    </row>
    <row r="266">
      <c r="A266" s="54">
        <f>IFERROR(__xludf.DUMMYFUNCTION("""COMPUTED_VALUE"""),46080.0)</f>
        <v>46080</v>
      </c>
      <c r="B266" s="48"/>
      <c r="C266" s="48"/>
      <c r="D266" s="48"/>
      <c r="E266" s="53" t="str">
        <f>IFERROR(__xludf.DUMMYFUNCTION("""COMPUTED_VALUE"""),"Organização de documentos para as reuniões de avaliação da operação nos reservatórios")</f>
        <v>Organização de documentos para as reuniões de avaliação da operação nos reservatórios</v>
      </c>
    </row>
    <row r="267">
      <c r="A267" s="54">
        <f>IFERROR(__xludf.DUMMYFUNCTION("""COMPUTED_VALUE"""),46080.0)</f>
        <v>46080</v>
      </c>
      <c r="B267" s="48"/>
      <c r="C267" s="48"/>
      <c r="D267" s="48"/>
      <c r="E267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268">
      <c r="A268" s="54">
        <f>IFERROR(__xludf.DUMMYFUNCTION("""COMPUTED_VALUE"""),46080.0)</f>
        <v>46080</v>
      </c>
      <c r="B268" s="48"/>
      <c r="C268" s="48"/>
      <c r="D268" s="48"/>
      <c r="E268" s="53" t="str">
        <f>IFERROR(__xludf.DUMMYFUNCTION("""COMPUTED_VALUE"""),"Realizar prestação de conta de diarias ")</f>
        <v>Realizar prestação de conta de diarias </v>
      </c>
    </row>
    <row r="269">
      <c r="A269" s="54">
        <f>IFERROR(__xludf.DUMMYFUNCTION("""COMPUTED_VALUE"""),46080.0)</f>
        <v>46080</v>
      </c>
      <c r="B269" s="48"/>
      <c r="C269" s="48"/>
      <c r="D269" s="48"/>
      <c r="E269" s="53" t="str">
        <f>IFERROR(__xludf.DUMMYFUNCTION("""COMPUTED_VALUE"""),"Atualização dos dados de Captação e Perenização no SIGERH")</f>
        <v>Atualização dos dados de Captação e Perenização no SIGERH</v>
      </c>
    </row>
    <row r="270">
      <c r="A270" s="54">
        <f>IFERROR(__xludf.DUMMYFUNCTION("""COMPUTED_VALUE"""),46080.0)</f>
        <v>46080</v>
      </c>
      <c r="B270" s="48"/>
      <c r="C270" s="48"/>
      <c r="D270" s="48"/>
      <c r="E270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271">
      <c r="A271" s="54">
        <f>IFERROR(__xludf.DUMMYFUNCTION("""COMPUTED_VALUE"""),46081.0)</f>
        <v>46081</v>
      </c>
      <c r="B271" s="48"/>
      <c r="C271" s="48"/>
      <c r="D271" s="48"/>
      <c r="E271" s="53" t="str">
        <f>IFERROR(__xludf.DUMMYFUNCTION("""COMPUTED_VALUE"""),"Publicar story de aniversário do Sr. Edilberto dos Santos (Departamento Nacional de Obras Contra as Secas)")</f>
        <v>Publicar story de aniversário do Sr. Edilberto dos Santos (Departamento Nacional de Obras Contra as Secas)</v>
      </c>
    </row>
    <row r="272">
      <c r="A272" s="54">
        <f>IFERROR(__xludf.DUMMYFUNCTION("""COMPUTED_VALUE"""),46082.0)</f>
        <v>46082</v>
      </c>
      <c r="B272" s="48"/>
      <c r="C272" s="48"/>
      <c r="D272" s="48"/>
      <c r="E272" s="48"/>
    </row>
    <row r="273">
      <c r="A273" s="55">
        <f>IFERROR(__xludf.DUMMYFUNCTION("""COMPUTED_VALUE"""),46083.0)</f>
        <v>46083</v>
      </c>
      <c r="B273" s="48"/>
      <c r="C273" s="48"/>
      <c r="D273" s="48"/>
      <c r="E273" s="53" t="str">
        <f>IFERROR(__xludf.DUMMYFUNCTION("""COMPUTED_VALUE"""),"Publicar story do aniversário Maria Analice de Araújo Albuquerque (CREDE 2)")</f>
        <v>Publicar story do aniversário Maria Analice de Araújo Albuquerque (CREDE 2)</v>
      </c>
    </row>
    <row r="274">
      <c r="A274" s="54">
        <f>IFERROR(__xludf.DUMMYFUNCTION("""COMPUTED_VALUE"""),46083.0)</f>
        <v>46083</v>
      </c>
      <c r="B274" s="48"/>
      <c r="C274" s="48"/>
      <c r="D274" s="48"/>
      <c r="E274" s="53" t="str">
        <f>IFERROR(__xludf.DUMMYFUNCTION("""COMPUTED_VALUE""")," Remover campanha de carnaval e dar início ao mês das águas ")</f>
        <v> Remover campanha de carnaval e dar início ao mês das águas </v>
      </c>
    </row>
    <row r="275">
      <c r="A275" s="54">
        <f>IFERROR(__xludf.DUMMYFUNCTION("""COMPUTED_VALUE"""),46083.0)</f>
        <v>46083</v>
      </c>
      <c r="B275" s="48"/>
      <c r="C275" s="48"/>
      <c r="D275" s="48"/>
      <c r="E275" s="53" t="str">
        <f>IFERROR(__xludf.DUMMYFUNCTION("""COMPUTED_VALUE"""),"Publicar story com o calendário de março no Instagram do CBH Litoral")</f>
        <v>Publicar story com o calendário de março no Instagram do CBH Litoral</v>
      </c>
    </row>
    <row r="276">
      <c r="A276" s="54">
        <f>IFERROR(__xludf.DUMMYFUNCTION("""COMPUTED_VALUE"""),46083.0)</f>
        <v>46083</v>
      </c>
      <c r="B276" s="48"/>
      <c r="C276" s="48"/>
      <c r="D276" s="48"/>
      <c r="E276" s="53" t="str">
        <f>IFERROR(__xludf.DUMMYFUNCTION("""COMPUTED_VALUE"""),"Reunião de Avaliação da Operação 2025.2 do açude Missi")</f>
        <v>Reunião de Avaliação da Operação 2025.2 do açude Missi</v>
      </c>
    </row>
    <row r="277">
      <c r="A277" s="54">
        <f>IFERROR(__xludf.DUMMYFUNCTION("""COMPUTED_VALUE"""),46083.0)</f>
        <v>46083</v>
      </c>
      <c r="B277" s="48"/>
      <c r="C277" s="48"/>
      <c r="D277" s="48"/>
      <c r="E277" s="53" t="str">
        <f>IFERROR(__xludf.DUMMYFUNCTION("""COMPUTED_VALUE"""),"Produção de ata da Reunião de Avaliação da Operação 2025.2 do açude Missi ")</f>
        <v>Produção de ata da Reunião de Avaliação da Operação 2025.2 do açude Missi </v>
      </c>
    </row>
    <row r="278">
      <c r="A278" s="54">
        <f>IFERROR(__xludf.DUMMYFUNCTION("""COMPUTED_VALUE"""),46083.0)</f>
        <v>46083</v>
      </c>
      <c r="B278" s="48"/>
      <c r="C278" s="48"/>
      <c r="D278" s="48"/>
      <c r="E278" s="53" t="str">
        <f>IFERROR(__xludf.DUMMYFUNCTION("""COMPUTED_VALUE"""),"Providenciar relatório de parecer técnico da Reunião de Avaliação 2025.2 do açude Missi ")</f>
        <v>Providenciar relatório de parecer técnico da Reunião de Avaliação 2025.2 do açude Missi </v>
      </c>
    </row>
    <row r="279">
      <c r="A279" s="54">
        <f>IFERROR(__xludf.DUMMYFUNCTION("""COMPUTED_VALUE"""),46083.0)</f>
        <v>46083</v>
      </c>
      <c r="B279" s="48"/>
      <c r="C279" s="48"/>
      <c r="D279" s="48"/>
      <c r="E279" s="53" t="str">
        <f>IFERROR(__xludf.DUMMYFUNCTION("""COMPUTED_VALUE"""),"Produção de relatório do seminário de renovação da CG Missi")</f>
        <v>Produção de relatório do seminário de renovação da CG Missi</v>
      </c>
    </row>
    <row r="280">
      <c r="A280" s="54">
        <f>IFERROR(__xludf.DUMMYFUNCTION("""COMPUTED_VALUE"""),46083.0)</f>
        <v>46083</v>
      </c>
      <c r="B280" s="48"/>
      <c r="C280" s="48"/>
      <c r="D280" s="48"/>
      <c r="E280" s="53" t="str">
        <f>IFERROR(__xludf.DUMMYFUNCTION("""COMPUTED_VALUE"""),"Publicação de matéria sobre a Reunião de Avaliação da operação do açude Missi")</f>
        <v>Publicação de matéria sobre a Reunião de Avaliação da operação do açude Missi</v>
      </c>
    </row>
    <row r="281">
      <c r="A281" s="54">
        <f>IFERROR(__xludf.DUMMYFUNCTION("""COMPUTED_VALUE"""),46083.0)</f>
        <v>46083</v>
      </c>
      <c r="B281" s="48"/>
      <c r="C281" s="48"/>
      <c r="D281" s="48"/>
      <c r="E281" s="53" t="str">
        <f>IFERROR(__xludf.DUMMYFUNCTION("""COMPUTED_VALUE"""),"Inserção de diarias ")</f>
        <v>Inserção de diarias </v>
      </c>
    </row>
    <row r="282">
      <c r="A282" s="54">
        <f>IFERROR(__xludf.DUMMYFUNCTION("""COMPUTED_VALUE"""),46083.0)</f>
        <v>46083</v>
      </c>
      <c r="B282" s="48"/>
      <c r="C282" s="48"/>
      <c r="D282" s="48"/>
      <c r="E282" s="53" t="str">
        <f>IFERROR(__xludf.DUMMYFUNCTION("""COMPUTED_VALUE"""),"Solicitação de combustivel")</f>
        <v>Solicitação de combustivel</v>
      </c>
    </row>
    <row r="283">
      <c r="A283" s="54">
        <f>IFERROR(__xludf.DUMMYFUNCTION("""COMPUTED_VALUE"""),46055.0)</f>
        <v>46055</v>
      </c>
      <c r="B283" s="53" t="str">
        <f>IFERROR(__xludf.DUMMYFUNCTION("""COMPUTED_VALUE"""),"Itapipoca")</f>
        <v>Itapipoca</v>
      </c>
      <c r="C283" s="53" t="str">
        <f>IFERROR(__xludf.DUMMYFUNCTION("""COMPUTED_VALUE"""),"Operações")</f>
        <v>Operações</v>
      </c>
      <c r="D283" s="53" t="str">
        <f>IFERROR(__xludf.DUMMYFUNCTION("""COMPUTED_VALUE"""),"Monitoramento")</f>
        <v>Monitoramento</v>
      </c>
      <c r="E283" s="53" t="str">
        <f>IFERROR(__xludf.DUMMYFUNCTION("""COMPUTED_VALUE"""),"Instrumentação do açude Missi (Piezômetros)")</f>
        <v>Instrumentação do açude Missi (Piezômetros)</v>
      </c>
    </row>
    <row r="284">
      <c r="A284" s="54">
        <f>IFERROR(__xludf.DUMMYFUNCTION("""COMPUTED_VALUE"""),46083.0)</f>
        <v>46083</v>
      </c>
      <c r="B284" s="48"/>
      <c r="C284" s="48"/>
      <c r="D284" s="48"/>
      <c r="E284" s="53" t="str">
        <f>IFERROR(__xludf.DUMMYFUNCTION("""COMPUTED_VALUE"""),"Visita administrativa ao açude Patos / analise sobre localização e responsabilidade a respeito de estruturas hidricas solicitadas pelo DNIT")</f>
        <v>Visita administrativa ao açude Patos / analise sobre localização e responsabilidade a respeito de estruturas hidricas solicitadas pelo DNIT</v>
      </c>
    </row>
    <row r="285">
      <c r="A285" s="54">
        <f>IFERROR(__xludf.DUMMYFUNCTION("""COMPUTED_VALUE"""),46084.0)</f>
        <v>46084</v>
      </c>
      <c r="B285" s="48"/>
      <c r="C285" s="48"/>
      <c r="D285" s="48"/>
      <c r="E285" s="53" t="str">
        <f>IFERROR(__xludf.DUMMYFUNCTION("""COMPUTED_VALUE"""),"Reunião de Avaliação da Operação 2025.2 do açude Patos")</f>
        <v>Reunião de Avaliação da Operação 2025.2 do açude Patos</v>
      </c>
    </row>
    <row r="286">
      <c r="A286" s="54">
        <f>IFERROR(__xludf.DUMMYFUNCTION("""COMPUTED_VALUE"""),46084.0)</f>
        <v>46084</v>
      </c>
      <c r="B286" s="48"/>
      <c r="C286" s="48"/>
      <c r="D286" s="48"/>
      <c r="E286" s="53" t="str">
        <f>IFERROR(__xludf.DUMMYFUNCTION("""COMPUTED_VALUE"""),"Produção de ata da reunião de Avaliação da Operação 2025.2 do açude Patos")</f>
        <v>Produção de ata da reunião de Avaliação da Operação 2025.2 do açude Patos</v>
      </c>
    </row>
    <row r="287">
      <c r="A287" s="54">
        <f>IFERROR(__xludf.DUMMYFUNCTION("""COMPUTED_VALUE"""),46084.0)</f>
        <v>46084</v>
      </c>
      <c r="B287" s="48"/>
      <c r="C287" s="48"/>
      <c r="D287" s="48"/>
      <c r="E287" s="53" t="str">
        <f>IFERROR(__xludf.DUMMYFUNCTION("""COMPUTED_VALUE"""),"Produção de relatório do seminário de criação da CG Patos")</f>
        <v>Produção de relatório do seminário de criação da CG Patos</v>
      </c>
    </row>
    <row r="288">
      <c r="A288" s="54">
        <f>IFERROR(__xludf.DUMMYFUNCTION("""COMPUTED_VALUE"""),46084.0)</f>
        <v>46084</v>
      </c>
      <c r="B288" s="48"/>
      <c r="C288" s="48"/>
      <c r="D288" s="48"/>
      <c r="E288" s="53" t="str">
        <f>IFERROR(__xludf.DUMMYFUNCTION("""COMPUTED_VALUE"""),"Publicação de matéria sobre a Reunião de Avaliação da operação do açude Patos")</f>
        <v>Publicação de matéria sobre a Reunião de Avaliação da operação do açude Patos</v>
      </c>
    </row>
    <row r="289">
      <c r="A289" s="54">
        <f>IFERROR(__xludf.DUMMYFUNCTION("""COMPUTED_VALUE"""),46084.0)</f>
        <v>46084</v>
      </c>
      <c r="B289" s="48"/>
      <c r="C289" s="48"/>
      <c r="D289" s="48"/>
      <c r="E289" s="53" t="str">
        <f>IFERROR(__xludf.DUMMYFUNCTION("""COMPUTED_VALUE"""),"Providenciar relatório de parecer técnico da Reunião de Avaliação 2025.2 do açude Patos")</f>
        <v>Providenciar relatório de parecer técnico da Reunião de Avaliação 2025.2 do açude Patos</v>
      </c>
    </row>
    <row r="290">
      <c r="A290" s="54">
        <f>IFERROR(__xludf.DUMMYFUNCTION("""COMPUTED_VALUE"""),46084.0)</f>
        <v>46084</v>
      </c>
      <c r="B290" s="48"/>
      <c r="C290" s="48"/>
      <c r="D290" s="48"/>
      <c r="E290" s="53" t="str">
        <f>IFERROR(__xludf.DUMMYFUNCTION("""COMPUTED_VALUE"""),"Produção de roteiro de gravação para as datas comemorativas")</f>
        <v>Produção de roteiro de gravação para as datas comemorativas</v>
      </c>
    </row>
    <row r="291">
      <c r="A291" s="54">
        <f>IFERROR(__xludf.DUMMYFUNCTION("""COMPUTED_VALUE"""),46084.0)</f>
        <v>46084</v>
      </c>
      <c r="B291" s="48"/>
      <c r="C291" s="48"/>
      <c r="D291" s="48"/>
      <c r="E291" s="53" t="str">
        <f>IFERROR(__xludf.DUMMYFUNCTION("""COMPUTED_VALUE"""),"Preenchimento de gestão  de frota ")</f>
        <v>Preenchimento de gestão  de frota </v>
      </c>
    </row>
    <row r="292">
      <c r="A292" s="54">
        <f>IFERROR(__xludf.DUMMYFUNCTION("""COMPUTED_VALUE"""),46084.0)</f>
        <v>46084</v>
      </c>
      <c r="B292" s="53" t="str">
        <f>IFERROR(__xludf.DUMMYFUNCTION("""COMPUTED_VALUE"""),"Itapipoca")</f>
        <v>Itapipoca</v>
      </c>
      <c r="C292" s="53" t="str">
        <f>IFERROR(__xludf.DUMMYFUNCTION("""COMPUTED_VALUE"""),"Operações")</f>
        <v>Operações</v>
      </c>
      <c r="D292" s="53" t="str">
        <f>IFERROR(__xludf.DUMMYFUNCTION("""COMPUTED_VALUE"""),"Instrumentos de Gestão")</f>
        <v>Instrumentos de Gestão</v>
      </c>
      <c r="E292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293">
      <c r="A293" s="54">
        <f>IFERROR(__xludf.DUMMYFUNCTION("""COMPUTED_VALUE"""),46085.0)</f>
        <v>46085</v>
      </c>
      <c r="B293" s="48"/>
      <c r="C293" s="48"/>
      <c r="D293" s="48"/>
      <c r="E293" s="53" t="str">
        <f>IFERROR(__xludf.DUMMYFUNCTION("""COMPUTED_VALUE"""),"Publicação de post sobre o I Seminário Águas do Litoral")</f>
        <v>Publicação de post sobre o I Seminário Águas do Litoral</v>
      </c>
    </row>
    <row r="294">
      <c r="A294" s="54">
        <f>IFERROR(__xludf.DUMMYFUNCTION("""COMPUTED_VALUE"""),46085.0)</f>
        <v>46085</v>
      </c>
      <c r="B294" s="48"/>
      <c r="C294" s="48"/>
      <c r="D294" s="48"/>
      <c r="E294" s="53" t="str">
        <f>IFERROR(__xludf.DUMMYFUNCTION("""COMPUTED_VALUE"""),"Reunião de Avaliação da Operação 2025.2 do açude Gameleira")</f>
        <v>Reunião de Avaliação da Operação 2025.2 do açude Gameleira</v>
      </c>
    </row>
    <row r="295">
      <c r="A295" s="54">
        <f>IFERROR(__xludf.DUMMYFUNCTION("""COMPUTED_VALUE"""),46085.0)</f>
        <v>46085</v>
      </c>
      <c r="B295" s="48"/>
      <c r="C295" s="48"/>
      <c r="D295" s="48"/>
      <c r="E295" s="53" t="str">
        <f>IFERROR(__xludf.DUMMYFUNCTION("""COMPUTED_VALUE"""),"Produção de ata da Reunião de Avaliação da Operação 2025.2 do açude Gameleira ")</f>
        <v>Produção de ata da Reunião de Avaliação da Operação 2025.2 do açude Gameleira </v>
      </c>
    </row>
    <row r="296">
      <c r="A296" s="54">
        <f>IFERROR(__xludf.DUMMYFUNCTION("""COMPUTED_VALUE"""),46085.0)</f>
        <v>46085</v>
      </c>
      <c r="B296" s="48"/>
      <c r="C296" s="48"/>
      <c r="D296" s="48"/>
      <c r="E296" s="53" t="str">
        <f>IFERROR(__xludf.DUMMYFUNCTION("""COMPUTED_VALUE"""),"Publicação de matéria sobre a avaliação da operação do açude Gameleira")</f>
        <v>Publicação de matéria sobre a avaliação da operação do açude Gameleira</v>
      </c>
    </row>
    <row r="297">
      <c r="A297" s="54">
        <f>IFERROR(__xludf.DUMMYFUNCTION("""COMPUTED_VALUE"""),46085.0)</f>
        <v>46085</v>
      </c>
      <c r="B297" s="48"/>
      <c r="C297" s="48"/>
      <c r="D297" s="48"/>
      <c r="E297" s="53" t="str">
        <f>IFERROR(__xludf.DUMMYFUNCTION("""COMPUTED_VALUE"""),"Providenciar relatório de parecer técnico da Reunião de Avaliação 2025.2 do açude Gameleira")</f>
        <v>Providenciar relatório de parecer técnico da Reunião de Avaliação 2025.2 do açude Gameleira</v>
      </c>
    </row>
    <row r="298">
      <c r="A298" s="54">
        <f>IFERROR(__xludf.DUMMYFUNCTION("""COMPUTED_VALUE"""),46085.0)</f>
        <v>46085</v>
      </c>
      <c r="B298" s="48"/>
      <c r="C298" s="48"/>
      <c r="D298" s="48"/>
      <c r="E298" s="53" t="str">
        <f>IFERROR(__xludf.DUMMYFUNCTION("""COMPUTED_VALUE"""),"Contato com a Prof. Hamilton sobre gravação do Dia Internacional das Florestas")</f>
        <v>Contato com a Prof. Hamilton sobre gravação do Dia Internacional das Florestas</v>
      </c>
    </row>
    <row r="299">
      <c r="A299" s="54">
        <f>IFERROR(__xludf.DUMMYFUNCTION("""COMPUTED_VALUE"""),46085.0)</f>
        <v>46085</v>
      </c>
      <c r="B299" s="48"/>
      <c r="C299" s="48"/>
      <c r="D299" s="48"/>
      <c r="E299" s="53" t="str">
        <f>IFERROR(__xludf.DUMMYFUNCTION("""COMPUTED_VALUE"""),"Mobilização para o I Seminário Águas do Litoral ")</f>
        <v>Mobilização para o I Seminário Águas do Litoral </v>
      </c>
    </row>
    <row r="300">
      <c r="A300" s="54">
        <f>IFERROR(__xludf.DUMMYFUNCTION("""COMPUTED_VALUE"""),46085.0)</f>
        <v>46085</v>
      </c>
      <c r="B300" s="48"/>
      <c r="C300" s="48"/>
      <c r="D300" s="48"/>
      <c r="E300" s="53" t="str">
        <f>IFERROR(__xludf.DUMMYFUNCTION("""COMPUTED_VALUE"""),"Realizar prestação de conta de diarias ")</f>
        <v>Realizar prestação de conta de diarias </v>
      </c>
    </row>
    <row r="301">
      <c r="A301" s="54">
        <f>IFERROR(__xludf.DUMMYFUNCTION("""COMPUTED_VALUE"""),46085.0)</f>
        <v>46085</v>
      </c>
      <c r="B301" s="53" t="str">
        <f>IFERROR(__xludf.DUMMYFUNCTION("""COMPUTED_VALUE"""),"Itapipoca")</f>
        <v>Itapipoca</v>
      </c>
      <c r="C301" s="53" t="str">
        <f>IFERROR(__xludf.DUMMYFUNCTION("""COMPUTED_VALUE"""),"Operações")</f>
        <v>Operações</v>
      </c>
      <c r="D301" s="53" t="str">
        <f>IFERROR(__xludf.DUMMYFUNCTION("""COMPUTED_VALUE"""),"Instrumentos de Gestão")</f>
        <v>Instrumentos de Gestão</v>
      </c>
      <c r="E301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302">
      <c r="A302" s="54">
        <f>IFERROR(__xludf.DUMMYFUNCTION("""COMPUTED_VALUE"""),46086.0)</f>
        <v>46086</v>
      </c>
      <c r="B302" s="48"/>
      <c r="C302" s="48"/>
      <c r="D302" s="48"/>
      <c r="E302" s="53" t="str">
        <f>IFERROR(__xludf.DUMMYFUNCTION("""COMPUTED_VALUE"""),"Reunião de Avaliação da Operação 2025.2 do açude São Pedro da Timbaúba")</f>
        <v>Reunião de Avaliação da Operação 2025.2 do açude São Pedro da Timbaúba</v>
      </c>
    </row>
    <row r="303">
      <c r="A303" s="54">
        <f>IFERROR(__xludf.DUMMYFUNCTION("""COMPUTED_VALUE"""),46086.0)</f>
        <v>46086</v>
      </c>
      <c r="B303" s="48"/>
      <c r="C303" s="48"/>
      <c r="D303" s="48"/>
      <c r="E303" s="53" t="str">
        <f>IFERROR(__xludf.DUMMYFUNCTION("""COMPUTED_VALUE"""),"Produção de ata da Reunião de Avaliação da Operação 2025.2 do açude São Pedro da Timbaúba")</f>
        <v>Produção de ata da Reunião de Avaliação da Operação 2025.2 do açude São Pedro da Timbaúba</v>
      </c>
    </row>
    <row r="304">
      <c r="A304" s="54">
        <f>IFERROR(__xludf.DUMMYFUNCTION("""COMPUTED_VALUE"""),46086.0)</f>
        <v>46086</v>
      </c>
      <c r="B304" s="48"/>
      <c r="C304" s="48"/>
      <c r="D304" s="48"/>
      <c r="E304" s="53" t="str">
        <f>IFERROR(__xludf.DUMMYFUNCTION("""COMPUTED_VALUE"""),"Produção de relatório do seminário de renovação da CG São Pedro da Timbaúba")</f>
        <v>Produção de relatório do seminário de renovação da CG São Pedro da Timbaúba</v>
      </c>
    </row>
    <row r="305">
      <c r="A305" s="54">
        <f>IFERROR(__xludf.DUMMYFUNCTION("""COMPUTED_VALUE"""),46086.0)</f>
        <v>46086</v>
      </c>
      <c r="B305" s="48"/>
      <c r="C305" s="48"/>
      <c r="D305" s="48"/>
      <c r="E305" s="53" t="str">
        <f>IFERROR(__xludf.DUMMYFUNCTION("""COMPUTED_VALUE"""),"Publicação de matéria sobre a avaliação da operação do açude São Pedro da Timbaúba")</f>
        <v>Publicação de matéria sobre a avaliação da operação do açude São Pedro da Timbaúba</v>
      </c>
    </row>
    <row r="306">
      <c r="A306" s="54">
        <f>IFERROR(__xludf.DUMMYFUNCTION("""COMPUTED_VALUE"""),46086.0)</f>
        <v>46086</v>
      </c>
      <c r="B306" s="48"/>
      <c r="C306" s="48"/>
      <c r="D306" s="48"/>
      <c r="E306" s="53" t="str">
        <f>IFERROR(__xludf.DUMMYFUNCTION("""COMPUTED_VALUE"""),"Providenciar relatório de parecer técnico da Reunião de Avaliação 2025.2 do açude São Pedro da Timbaúba")</f>
        <v>Providenciar relatório de parecer técnico da Reunião de Avaliação 2025.2 do açude São Pedro da Timbaúba</v>
      </c>
    </row>
    <row r="307">
      <c r="A307" s="54">
        <f>IFERROR(__xludf.DUMMYFUNCTION("""COMPUTED_VALUE"""),46086.0)</f>
        <v>46086</v>
      </c>
      <c r="B307" s="48"/>
      <c r="C307" s="48"/>
      <c r="D307" s="48"/>
      <c r="E307" s="53" t="str">
        <f>IFERROR(__xludf.DUMMYFUNCTION("""COMPUTED_VALUE"""),"Gravação de vídeo sobre o Dia Nacional de Conscientização sobre as Mudanças Climáticas com Raimundo Sales")</f>
        <v>Gravação de vídeo sobre o Dia Nacional de Conscientização sobre as Mudanças Climáticas com Raimundo Sales</v>
      </c>
    </row>
    <row r="308">
      <c r="A308" s="54">
        <f>IFERROR(__xludf.DUMMYFUNCTION("""COMPUTED_VALUE"""),46086.0)</f>
        <v>46086</v>
      </c>
      <c r="B308" s="48"/>
      <c r="C308" s="48"/>
      <c r="D308" s="48"/>
      <c r="E308" s="53" t="str">
        <f>IFERROR(__xludf.DUMMYFUNCTION("""COMPUTED_VALUE"""),"Gravação com Raimundo Ribeiro Sales contagem regressiva de dez dias para a realização do I Seminário Águas do Litoral")</f>
        <v>Gravação com Raimundo Ribeiro Sales contagem regressiva de dez dias para a realização do I Seminário Águas do Litoral</v>
      </c>
    </row>
    <row r="309">
      <c r="A309" s="54">
        <f>IFERROR(__xludf.DUMMYFUNCTION("""COMPUTED_VALUE"""),46086.0)</f>
        <v>46086</v>
      </c>
      <c r="B309" s="48"/>
      <c r="C309" s="48"/>
      <c r="D309" s="48"/>
      <c r="E309" s="53" t="str">
        <f>IFERROR(__xludf.DUMMYFUNCTION("""COMPUTED_VALUE"""),"Lançamento de notas fiscais no Protheus ")</f>
        <v>Lançamento de notas fiscais no Protheus </v>
      </c>
    </row>
    <row r="310">
      <c r="A310" s="54">
        <f>IFERROR(__xludf.DUMMYFUNCTION("""COMPUTED_VALUE"""),46086.0)</f>
        <v>46086</v>
      </c>
      <c r="B310" s="53" t="str">
        <f>IFERROR(__xludf.DUMMYFUNCTION("""COMPUTED_VALUE"""),"Itapipoca")</f>
        <v>Itapipoca</v>
      </c>
      <c r="C310" s="53" t="str">
        <f>IFERROR(__xludf.DUMMYFUNCTION("""COMPUTED_VALUE"""),"Operações")</f>
        <v>Operações</v>
      </c>
      <c r="D310" s="53" t="str">
        <f>IFERROR(__xludf.DUMMYFUNCTION("""COMPUTED_VALUE"""),"Instrumentos de Gestão")</f>
        <v>Instrumentos de Gestão</v>
      </c>
      <c r="E310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311">
      <c r="A311" s="54">
        <f>IFERROR(__xludf.DUMMYFUNCTION("""COMPUTED_VALUE"""),46087.0)</f>
        <v>46087</v>
      </c>
      <c r="B311" s="48"/>
      <c r="C311" s="48"/>
      <c r="D311" s="48"/>
      <c r="E311" s="53" t="str">
        <f>IFERROR(__xludf.DUMMYFUNCTION("""COMPUTED_VALUE"""),"Reunião de Avaliação da Operação 2025.2 e Seminário de Posse e Capacitação da CG do açude Quandú")</f>
        <v>Reunião de Avaliação da Operação 2025.2 e Seminário de Posse e Capacitação da CG do açude Quandú</v>
      </c>
    </row>
    <row r="312">
      <c r="A312" s="54">
        <f>IFERROR(__xludf.DUMMYFUNCTION("""COMPUTED_VALUE"""),46087.0)</f>
        <v>46087</v>
      </c>
      <c r="B312" s="48"/>
      <c r="C312" s="48"/>
      <c r="D312" s="48"/>
      <c r="E312" s="53" t="str">
        <f>IFERROR(__xludf.DUMMYFUNCTION("""COMPUTED_VALUE"""),"Produção de ata da Reunião de Avaliação da Operação 2025.2 do açude Quandú")</f>
        <v>Produção de ata da Reunião de Avaliação da Operação 2025.2 do açude Quandú</v>
      </c>
    </row>
    <row r="313">
      <c r="A313" s="54">
        <f>IFERROR(__xludf.DUMMYFUNCTION("""COMPUTED_VALUE"""),46087.0)</f>
        <v>46087</v>
      </c>
      <c r="B313" s="48"/>
      <c r="C313" s="48"/>
      <c r="D313" s="48"/>
      <c r="E313" s="53" t="str">
        <f>IFERROR(__xludf.DUMMYFUNCTION("""COMPUTED_VALUE"""),"Publicação de matéria sobre a avaliação da operação do açude Quandú")</f>
        <v>Publicação de matéria sobre a avaliação da operação do açude Quandú</v>
      </c>
    </row>
    <row r="314">
      <c r="A314" s="54">
        <f>IFERROR(__xludf.DUMMYFUNCTION("""COMPUTED_VALUE"""),46087.0)</f>
        <v>46087</v>
      </c>
      <c r="B314" s="48"/>
      <c r="C314" s="48"/>
      <c r="D314" s="48"/>
      <c r="E314" s="53" t="str">
        <f>IFERROR(__xludf.DUMMYFUNCTION("""COMPUTED_VALUE"""),"Produção de relatório do seminário de posse e capacitação da CG Quandú")</f>
        <v>Produção de relatório do seminário de posse e capacitação da CG Quandú</v>
      </c>
    </row>
    <row r="315">
      <c r="A315" s="54">
        <f>IFERROR(__xludf.DUMMYFUNCTION("""COMPUTED_VALUE"""),46087.0)</f>
        <v>46087</v>
      </c>
      <c r="B315" s="48"/>
      <c r="C315" s="48"/>
      <c r="D315" s="48"/>
      <c r="E315" s="53" t="str">
        <f>IFERROR(__xludf.DUMMYFUNCTION("""COMPUTED_VALUE"""),"Providenciar relatório de parecer técnico da Reunião de Avaliação 2025.2 do açude Quandú")</f>
        <v>Providenciar relatório de parecer técnico da Reunião de Avaliação 2025.2 do açude Quandú</v>
      </c>
    </row>
    <row r="316">
      <c r="A316" s="54">
        <f>IFERROR(__xludf.DUMMYFUNCTION("""COMPUTED_VALUE"""),46087.0)</f>
        <v>46087</v>
      </c>
      <c r="B316" s="48"/>
      <c r="C316" s="48"/>
      <c r="D316" s="48"/>
      <c r="E316" s="53" t="str">
        <f>IFERROR(__xludf.DUMMYFUNCTION("""COMPUTED_VALUE"""),"Gravação de vídeo sobre o Dia da Árvore")</f>
        <v>Gravação de vídeo sobre o Dia da Árvore</v>
      </c>
    </row>
    <row r="317">
      <c r="A317" s="54">
        <f>IFERROR(__xludf.DUMMYFUNCTION("""COMPUTED_VALUE"""),46087.0)</f>
        <v>46087</v>
      </c>
      <c r="B317" s="48"/>
      <c r="C317" s="48"/>
      <c r="D317" s="48"/>
      <c r="E317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318">
      <c r="A318" s="54">
        <f>IFERROR(__xludf.DUMMYFUNCTION("""COMPUTED_VALUE"""),46087.0)</f>
        <v>46087</v>
      </c>
      <c r="B318" s="48"/>
      <c r="C318" s="48"/>
      <c r="D318" s="48"/>
      <c r="E318" s="53" t="str">
        <f>IFERROR(__xludf.DUMMYFUNCTION("""COMPUTED_VALUE"""),"Realizar prestação de conta de diarias ")</f>
        <v>Realizar prestação de conta de diarias </v>
      </c>
    </row>
    <row r="319">
      <c r="A319" s="54">
        <f>IFERROR(__xludf.DUMMYFUNCTION("""COMPUTED_VALUE"""),46087.0)</f>
        <v>46087</v>
      </c>
      <c r="B319" s="53" t="str">
        <f>IFERROR(__xludf.DUMMYFUNCTION("""COMPUTED_VALUE"""),"Itapipoca")</f>
        <v>Itapipoca</v>
      </c>
      <c r="C319" s="53" t="str">
        <f>IFERROR(__xludf.DUMMYFUNCTION("""COMPUTED_VALUE"""),"Operações")</f>
        <v>Operações</v>
      </c>
      <c r="D319" s="53" t="str">
        <f>IFERROR(__xludf.DUMMYFUNCTION("""COMPUTED_VALUE"""),"Instrumentos de Gestão")</f>
        <v>Instrumentos de Gestão</v>
      </c>
      <c r="E319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320">
      <c r="A320" s="54">
        <f>IFERROR(__xludf.DUMMYFUNCTION("""COMPUTED_VALUE"""),46087.0)</f>
        <v>46087</v>
      </c>
      <c r="B320" s="53" t="str">
        <f>IFERROR(__xludf.DUMMYFUNCTION("""COMPUTED_VALUE"""),"Itapipoca")</f>
        <v>Itapipoca</v>
      </c>
      <c r="C320" s="53" t="str">
        <f>IFERROR(__xludf.DUMMYFUNCTION("""COMPUTED_VALUE"""),"Operações")</f>
        <v>Operações</v>
      </c>
      <c r="D320" s="53" t="str">
        <f>IFERROR(__xludf.DUMMYFUNCTION("""COMPUTED_VALUE"""),"Monitoramento")</f>
        <v>Monitoramento</v>
      </c>
      <c r="E320" s="53" t="str">
        <f>IFERROR(__xludf.DUMMYFUNCTION("""COMPUTED_VALUE"""),"Atualização dos dados de Captação e Perenização no SIGERH")</f>
        <v>Atualização dos dados de Captação e Perenização no SIGERH</v>
      </c>
    </row>
    <row r="321">
      <c r="A321" s="54">
        <f>IFERROR(__xludf.DUMMYFUNCTION("""COMPUTED_VALUE"""),46087.0)</f>
        <v>46087</v>
      </c>
      <c r="B321" s="53" t="str">
        <f>IFERROR(__xludf.DUMMYFUNCTION("""COMPUTED_VALUE"""),"Itapipoca")</f>
        <v>Itapipoca</v>
      </c>
      <c r="C321" s="53" t="str">
        <f>IFERROR(__xludf.DUMMYFUNCTION("""COMPUTED_VALUE"""),"Operações")</f>
        <v>Operações</v>
      </c>
      <c r="D321" s="53" t="str">
        <f>IFERROR(__xludf.DUMMYFUNCTION("""COMPUTED_VALUE"""),"Monitoramento")</f>
        <v>Monitoramento</v>
      </c>
      <c r="E321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322">
      <c r="A322" s="54">
        <f>IFERROR(__xludf.DUMMYFUNCTION("""COMPUTED_VALUE"""),46088.0)</f>
        <v>46088</v>
      </c>
      <c r="B322" s="48"/>
      <c r="C322" s="48"/>
      <c r="D322" s="48"/>
      <c r="E322" s="48"/>
    </row>
    <row r="323">
      <c r="A323" s="54">
        <f>IFERROR(__xludf.DUMMYFUNCTION("""COMPUTED_VALUE"""),46089.0)</f>
        <v>46089</v>
      </c>
      <c r="B323" s="48"/>
      <c r="C323" s="48"/>
      <c r="D323" s="48"/>
      <c r="E323" s="53" t="str">
        <f>IFERROR(__xludf.DUMMYFUNCTION("""COMPUTED_VALUE"""),"Aniversário do Sr. Manoel Otaviano do Nascimento (Associação Comunitária do Moradores de Jurema")</f>
        <v>Aniversário do Sr. Manoel Otaviano do Nascimento (Associação Comunitária do Moradores de Jurema</v>
      </c>
    </row>
    <row r="324">
      <c r="A324" s="54">
        <f>IFERROR(__xludf.DUMMYFUNCTION("""COMPUTED_VALUE"""),46089.0)</f>
        <v>46089</v>
      </c>
      <c r="B324" s="48"/>
      <c r="C324" s="48"/>
      <c r="D324" s="48"/>
      <c r="E324" s="53" t="str">
        <f>IFERROR(__xludf.DUMMYFUNCTION("""COMPUTED_VALUE"""),"Publicação de vídeo sobre o Dia Internacional da Mulher")</f>
        <v>Publicação de vídeo sobre o Dia Internacional da Mulher</v>
      </c>
    </row>
    <row r="325">
      <c r="A325" s="54">
        <f>IFERROR(__xludf.DUMMYFUNCTION("""COMPUTED_VALUE"""),46090.0)</f>
        <v>46090</v>
      </c>
      <c r="B325" s="48"/>
      <c r="C325" s="48"/>
      <c r="D325" s="48"/>
      <c r="E325" s="53" t="str">
        <f>IFERROR(__xludf.DUMMYFUNCTION("""COMPUTED_VALUE"""),"Publicar story do aniversário da Fabiana Carneiro de Castro (CITI)")</f>
        <v>Publicar story do aniversário da Fabiana Carneiro de Castro (CITI)</v>
      </c>
    </row>
    <row r="326">
      <c r="A326" s="54">
        <f>IFERROR(__xludf.DUMMYFUNCTION("""COMPUTED_VALUE"""),46090.0)</f>
        <v>46090</v>
      </c>
      <c r="B326" s="48"/>
      <c r="C326" s="48"/>
      <c r="D326" s="48"/>
      <c r="E326" s="53" t="str">
        <f>IFERROR(__xludf.DUMMYFUNCTION("""COMPUTED_VALUE"""),"Reunião de Avaliação da Operação 2025.2 do açude Mundaú")</f>
        <v>Reunião de Avaliação da Operação 2025.2 do açude Mundaú</v>
      </c>
    </row>
    <row r="327">
      <c r="A327" s="54">
        <f>IFERROR(__xludf.DUMMYFUNCTION("""COMPUTED_VALUE"""),46090.0)</f>
        <v>46090</v>
      </c>
      <c r="B327" s="48"/>
      <c r="C327" s="48"/>
      <c r="D327" s="48"/>
      <c r="E327" s="53" t="str">
        <f>IFERROR(__xludf.DUMMYFUNCTION("""COMPUTED_VALUE"""),"Produção de ata da Reunião de Avaliação da Operação 2025.2 do açude Mundaú")</f>
        <v>Produção de ata da Reunião de Avaliação da Operação 2025.2 do açude Mundaú</v>
      </c>
    </row>
    <row r="328">
      <c r="A328" s="54">
        <f>IFERROR(__xludf.DUMMYFUNCTION("""COMPUTED_VALUE"""),46090.0)</f>
        <v>46090</v>
      </c>
      <c r="B328" s="48"/>
      <c r="C328" s="48"/>
      <c r="D328" s="48"/>
      <c r="E328" s="53" t="str">
        <f>IFERROR(__xludf.DUMMYFUNCTION("""COMPUTED_VALUE"""),"Produção de relatório do seminário de posse e capacitação da CG Mundaú")</f>
        <v>Produção de relatório do seminário de posse e capacitação da CG Mundaú</v>
      </c>
    </row>
    <row r="329">
      <c r="A329" s="54">
        <f>IFERROR(__xludf.DUMMYFUNCTION("""COMPUTED_VALUE"""),46090.0)</f>
        <v>46090</v>
      </c>
      <c r="B329" s="48"/>
      <c r="C329" s="48"/>
      <c r="D329" s="48"/>
      <c r="E329" s="53" t="str">
        <f>IFERROR(__xludf.DUMMYFUNCTION("""COMPUTED_VALUE"""),"Publicação de matéria sobre a avaliação da operação do açude Uruburetama")</f>
        <v>Publicação de matéria sobre a avaliação da operação do açude Uruburetama</v>
      </c>
    </row>
    <row r="330">
      <c r="A330" s="54">
        <f>IFERROR(__xludf.DUMMYFUNCTION("""COMPUTED_VALUE"""),46090.0)</f>
        <v>46090</v>
      </c>
      <c r="B330" s="48"/>
      <c r="C330" s="48"/>
      <c r="D330" s="48"/>
      <c r="E330" s="53" t="str">
        <f>IFERROR(__xludf.DUMMYFUNCTION("""COMPUTED_VALUE"""),"Providenciar relatório de parecer técnico da Reunião de Avaliação 2025.2 do açude Mundaú")</f>
        <v>Providenciar relatório de parecer técnico da Reunião de Avaliação 2025.2 do açude Mundaú</v>
      </c>
    </row>
    <row r="331">
      <c r="A331" s="54">
        <f>IFERROR(__xludf.DUMMYFUNCTION("""COMPUTED_VALUE"""),46090.0)</f>
        <v>46090</v>
      </c>
      <c r="B331" s="48"/>
      <c r="C331" s="48"/>
      <c r="D331" s="48"/>
      <c r="E331" s="53" t="str">
        <f>IFERROR(__xludf.DUMMYFUNCTION("""COMPUTED_VALUE"""),"Inserção de diarias ")</f>
        <v>Inserção de diarias </v>
      </c>
    </row>
    <row r="332">
      <c r="A332" s="54">
        <f>IFERROR(__xludf.DUMMYFUNCTION("""COMPUTED_VALUE"""),46090.0)</f>
        <v>46090</v>
      </c>
      <c r="B332" s="53" t="str">
        <f>IFERROR(__xludf.DUMMYFUNCTION("""COMPUTED_VALUE"""),"Itapipoca")</f>
        <v>Itapipoca</v>
      </c>
      <c r="C332" s="53" t="str">
        <f>IFERROR(__xludf.DUMMYFUNCTION("""COMPUTED_VALUE"""),"Operações")</f>
        <v>Operações</v>
      </c>
      <c r="D332" s="53" t="str">
        <f>IFERROR(__xludf.DUMMYFUNCTION("""COMPUTED_VALUE"""),"Monitoramento")</f>
        <v>Monitoramento</v>
      </c>
      <c r="E332" s="53" t="str">
        <f>IFERROR(__xludf.DUMMYFUNCTION("""COMPUTED_VALUE"""),"Calibração da Sonda para as Coletas")</f>
        <v>Calibração da Sonda para as Coletas</v>
      </c>
    </row>
    <row r="333">
      <c r="A333" s="54">
        <f>IFERROR(__xludf.DUMMYFUNCTION("""COMPUTED_VALUE"""),46091.0)</f>
        <v>46091</v>
      </c>
      <c r="B333" s="48"/>
      <c r="C333" s="48"/>
      <c r="D333" s="48"/>
      <c r="E333" s="53" t="str">
        <f>IFERROR(__xludf.DUMMYFUNCTION("""COMPUTED_VALUE"""),"Instalar horímetro no Iracema")</f>
        <v>Instalar horímetro no Iracema</v>
      </c>
    </row>
    <row r="334">
      <c r="A334" s="54">
        <f>IFERROR(__xludf.DUMMYFUNCTION("""COMPUTED_VALUE"""),46091.0)</f>
        <v>46091</v>
      </c>
      <c r="B334" s="48"/>
      <c r="C334" s="48"/>
      <c r="D334" s="48"/>
      <c r="E334" s="53" t="str">
        <f>IFERROR(__xludf.DUMMYFUNCTION("""COMPUTED_VALUE"""),"Publicar story do aniversário do Francisco Xavier Azevedo Mesquita (Câmara Municipal de Irauçuba) e Francisco Aglailson Castro de Sousa (Colônia de Pescadores Z-67 de Sobral)")</f>
        <v>Publicar story do aniversário do Francisco Xavier Azevedo Mesquita (Câmara Municipal de Irauçuba) e Francisco Aglailson Castro de Sousa (Colônia de Pescadores Z-67 de Sobral)</v>
      </c>
    </row>
    <row r="335">
      <c r="A335" s="54">
        <f>IFERROR(__xludf.DUMMYFUNCTION("""COMPUTED_VALUE"""),46091.0)</f>
        <v>46091</v>
      </c>
      <c r="B335" s="48"/>
      <c r="C335" s="48"/>
      <c r="D335" s="48"/>
      <c r="E335" s="53" t="str">
        <f>IFERROR(__xludf.DUMMYFUNCTION("""COMPUTED_VALUE"""),"Reunião de Avaliação da Operação 2024.2 do açude Santo Antônio de Aracatiaçu ")</f>
        <v>Reunião de Avaliação da Operação 2024.2 do açude Santo Antônio de Aracatiaçu </v>
      </c>
    </row>
    <row r="336">
      <c r="A336" s="54">
        <f>IFERROR(__xludf.DUMMYFUNCTION("""COMPUTED_VALUE"""),46091.0)</f>
        <v>46091</v>
      </c>
      <c r="B336" s="48"/>
      <c r="C336" s="48"/>
      <c r="D336" s="48"/>
      <c r="E336" s="53" t="str">
        <f>IFERROR(__xludf.DUMMYFUNCTION("""COMPUTED_VALUE"""),"Produção de ata da Reunião de Avaliação da Operação 2025.2 do açude Santo Antônio de Aracatiaçu")</f>
        <v>Produção de ata da Reunião de Avaliação da Operação 2025.2 do açude Santo Antônio de Aracatiaçu</v>
      </c>
    </row>
    <row r="337">
      <c r="A337" s="54">
        <f>IFERROR(__xludf.DUMMYFUNCTION("""COMPUTED_VALUE"""),46091.0)</f>
        <v>46091</v>
      </c>
      <c r="B337" s="48"/>
      <c r="C337" s="48"/>
      <c r="D337" s="48"/>
      <c r="E337" s="53" t="str">
        <f>IFERROR(__xludf.DUMMYFUNCTION("""COMPUTED_VALUE"""),"Produção de relatório do seminário de renovação da CG Santo Antônio")</f>
        <v>Produção de relatório do seminário de renovação da CG Santo Antônio</v>
      </c>
    </row>
    <row r="338">
      <c r="A338" s="54">
        <f>IFERROR(__xludf.DUMMYFUNCTION("""COMPUTED_VALUE"""),46091.0)</f>
        <v>46091</v>
      </c>
      <c r="B338" s="48"/>
      <c r="C338" s="48"/>
      <c r="D338" s="48"/>
      <c r="E338" s="53" t="str">
        <f>IFERROR(__xludf.DUMMYFUNCTION("""COMPUTED_VALUE"""),"Publicação de matéria sobre a avaliação da operação do açude Santo Antônio de Aracatiaçu")</f>
        <v>Publicação de matéria sobre a avaliação da operação do açude Santo Antônio de Aracatiaçu</v>
      </c>
    </row>
    <row r="339">
      <c r="A339" s="54">
        <f>IFERROR(__xludf.DUMMYFUNCTION("""COMPUTED_VALUE"""),46091.0)</f>
        <v>46091</v>
      </c>
      <c r="B339" s="48"/>
      <c r="C339" s="48"/>
      <c r="D339" s="48"/>
      <c r="E339" s="53" t="str">
        <f>IFERROR(__xludf.DUMMYFUNCTION("""COMPUTED_VALUE"""),"Providenciar relatório de parecer técnico da Reunião de Avaliação 2025.2 do açude Santo Antônio de Aracatiaçu")</f>
        <v>Providenciar relatório de parecer técnico da Reunião de Avaliação 2025.2 do açude Santo Antônio de Aracatiaçu</v>
      </c>
    </row>
    <row r="340">
      <c r="A340" s="54">
        <f>IFERROR(__xludf.DUMMYFUNCTION("""COMPUTED_VALUE"""),46091.0)</f>
        <v>46091</v>
      </c>
      <c r="B340" s="48"/>
      <c r="C340" s="48"/>
      <c r="D340" s="48"/>
      <c r="E340" s="53" t="str">
        <f>IFERROR(__xludf.DUMMYFUNCTION("""COMPUTED_VALUE"""),"Envio de frequencias ")</f>
        <v>Envio de frequencias </v>
      </c>
    </row>
    <row r="341">
      <c r="A341" s="54">
        <f>IFERROR(__xludf.DUMMYFUNCTION("""COMPUTED_VALUE"""),46091.0)</f>
        <v>46091</v>
      </c>
      <c r="B341" s="48"/>
      <c r="C341" s="48"/>
      <c r="D341" s="48"/>
      <c r="E341" s="53" t="str">
        <f>IFERROR(__xludf.DUMMYFUNCTION("""COMPUTED_VALUE"""),"Preenchimento de gestão  de frota ")</f>
        <v>Preenchimento de gestão  de frota </v>
      </c>
    </row>
    <row r="342">
      <c r="A342" s="54">
        <f>IFERROR(__xludf.DUMMYFUNCTION("""COMPUTED_VALUE"""),46091.0)</f>
        <v>46091</v>
      </c>
      <c r="B342" s="53" t="str">
        <f>IFERROR(__xludf.DUMMYFUNCTION("""COMPUTED_VALUE"""),"Itapipoca")</f>
        <v>Itapipoca</v>
      </c>
      <c r="C342" s="53" t="str">
        <f>IFERROR(__xludf.DUMMYFUNCTION("""COMPUTED_VALUE"""),"Operações")</f>
        <v>Operações</v>
      </c>
      <c r="D342" s="53" t="str">
        <f>IFERROR(__xludf.DUMMYFUNCTION("""COMPUTED_VALUE"""),"Monitoramento")</f>
        <v>Monitoramento</v>
      </c>
      <c r="E342" s="53" t="str">
        <f>IFERROR(__xludf.DUMMYFUNCTION("""COMPUTED_VALUE"""),"Coleta para Análise Qualitativa da Água (Missi e São Pedro da Timbaúba)")</f>
        <v>Coleta para Análise Qualitativa da Água (Missi e São Pedro da Timbaúba)</v>
      </c>
    </row>
    <row r="343">
      <c r="A343" s="54">
        <f>IFERROR(__xludf.DUMMYFUNCTION("""COMPUTED_VALUE"""),46091.0)</f>
        <v>46091</v>
      </c>
      <c r="B343" s="53" t="str">
        <f>IFERROR(__xludf.DUMMYFUNCTION("""COMPUTED_VALUE"""),"Itapipoca")</f>
        <v>Itapipoca</v>
      </c>
      <c r="C343" s="53" t="str">
        <f>IFERROR(__xludf.DUMMYFUNCTION("""COMPUTED_VALUE"""),"Operações")</f>
        <v>Operações</v>
      </c>
      <c r="D343" s="53" t="str">
        <f>IFERROR(__xludf.DUMMYFUNCTION("""COMPUTED_VALUE"""),"Instrumentos de Gestão")</f>
        <v>Instrumentos de Gestão</v>
      </c>
      <c r="E343" s="53" t="str">
        <f>IFERROR(__xludf.DUMMYFUNCTION("""COMPUTED_VALUE"""),"Faturamento (Atualizar dados do faturamento no sistema)")</f>
        <v>Faturamento (Atualizar dados do faturamento no sistema)</v>
      </c>
    </row>
    <row r="344">
      <c r="A344" s="54">
        <f>IFERROR(__xludf.DUMMYFUNCTION("""COMPUTED_VALUE"""),46092.0)</f>
        <v>46092</v>
      </c>
      <c r="B344" s="48"/>
      <c r="C344" s="48"/>
      <c r="D344" s="48"/>
      <c r="E344" s="53" t="str">
        <f>IFERROR(__xludf.DUMMYFUNCTION("""COMPUTED_VALUE"""),"Reunião de Avaliação da Operação 2024.2 do açude Poço Verde")</f>
        <v>Reunião de Avaliação da Operação 2024.2 do açude Poço Verde</v>
      </c>
    </row>
    <row r="345">
      <c r="A345" s="54">
        <f>IFERROR(__xludf.DUMMYFUNCTION("""COMPUTED_VALUE"""),46092.0)</f>
        <v>46092</v>
      </c>
      <c r="B345" s="48"/>
      <c r="C345" s="48"/>
      <c r="D345" s="48"/>
      <c r="E345" s="53" t="str">
        <f>IFERROR(__xludf.DUMMYFUNCTION("""COMPUTED_VALUE"""),"Produção de ata da Reunião de Avaliação da Operação 2025.2 do açude Poço Verde ")</f>
        <v>Produção de ata da Reunião de Avaliação da Operação 2025.2 do açude Poço Verde </v>
      </c>
    </row>
    <row r="346">
      <c r="A346" s="54">
        <f>IFERROR(__xludf.DUMMYFUNCTION("""COMPUTED_VALUE"""),46092.0)</f>
        <v>46092</v>
      </c>
      <c r="B346" s="48"/>
      <c r="C346" s="48"/>
      <c r="D346" s="48"/>
      <c r="E346" s="53" t="str">
        <f>IFERROR(__xludf.DUMMYFUNCTION("""COMPUTED_VALUE"""),"Publicação de matéria sobre a avaliação da operação do açude Poço Verde")</f>
        <v>Publicação de matéria sobre a avaliação da operação do açude Poço Verde</v>
      </c>
    </row>
    <row r="347">
      <c r="A347" s="54">
        <f>IFERROR(__xludf.DUMMYFUNCTION("""COMPUTED_VALUE"""),46092.0)</f>
        <v>46092</v>
      </c>
      <c r="B347" s="48"/>
      <c r="C347" s="48"/>
      <c r="D347" s="48"/>
      <c r="E347" s="53" t="str">
        <f>IFERROR(__xludf.DUMMYFUNCTION("""COMPUTED_VALUE"""),"Providenciar relatório de parecer técnico da Reunião de Avaliação 2025.2 do açude Poço Verde")</f>
        <v>Providenciar relatório de parecer técnico da Reunião de Avaliação 2025.2 do açude Poço Verde</v>
      </c>
    </row>
    <row r="348">
      <c r="A348" s="54">
        <f>IFERROR(__xludf.DUMMYFUNCTION("""COMPUTED_VALUE"""),46092.0)</f>
        <v>46092</v>
      </c>
      <c r="B348" s="48"/>
      <c r="C348" s="48"/>
      <c r="D348" s="48"/>
      <c r="E348" s="53" t="str">
        <f>IFERROR(__xludf.DUMMYFUNCTION("""COMPUTED_VALUE"""),"Realizar prestação de conta de diarias ")</f>
        <v>Realizar prestação de conta de diarias </v>
      </c>
    </row>
    <row r="349">
      <c r="A349" s="54">
        <f>IFERROR(__xludf.DUMMYFUNCTION("""COMPUTED_VALUE"""),46092.0)</f>
        <v>46092</v>
      </c>
      <c r="B349" s="48"/>
      <c r="C349" s="48"/>
      <c r="D349" s="48"/>
      <c r="E349" s="53" t="str">
        <f>IFERROR(__xludf.DUMMYFUNCTION("""COMPUTED_VALUE"""),"Conferência de estoque ")</f>
        <v>Conferência de estoque </v>
      </c>
    </row>
    <row r="350">
      <c r="A350" s="54">
        <f>IFERROR(__xludf.DUMMYFUNCTION("""COMPUTED_VALUE"""),46092.0)</f>
        <v>46092</v>
      </c>
      <c r="B350" s="53" t="str">
        <f>IFERROR(__xludf.DUMMYFUNCTION("""COMPUTED_VALUE"""),"Itapipoca")</f>
        <v>Itapipoca</v>
      </c>
      <c r="C350" s="53" t="str">
        <f>IFERROR(__xludf.DUMMYFUNCTION("""COMPUTED_VALUE"""),"Operações")</f>
        <v>Operações</v>
      </c>
      <c r="D350" s="53" t="str">
        <f>IFERROR(__xludf.DUMMYFUNCTION("""COMPUTED_VALUE"""),"Monitoramento")</f>
        <v>Monitoramento</v>
      </c>
      <c r="E350" s="53" t="str">
        <f>IFERROR(__xludf.DUMMYFUNCTION("""COMPUTED_VALUE"""),"Coleta para Análise Qualitativa da Água e instalação de réguas (Lagoa das Almécegas)")</f>
        <v>Coleta para Análise Qualitativa da Água e instalação de réguas (Lagoa das Almécegas)</v>
      </c>
    </row>
    <row r="351">
      <c r="A351" s="54">
        <f>IFERROR(__xludf.DUMMYFUNCTION("""COMPUTED_VALUE"""),46093.0)</f>
        <v>46093</v>
      </c>
      <c r="B351" s="48"/>
      <c r="C351" s="48"/>
      <c r="D351" s="48"/>
      <c r="E351" s="53" t="str">
        <f>IFERROR(__xludf.DUMMYFUNCTION("""COMPUTED_VALUE"""),"Publicar story do aniversário de José Márcio dos Santos (Prefeitura de Amontada) ")</f>
        <v>Publicar story do aniversário de José Márcio dos Santos (Prefeitura de Amontada) </v>
      </c>
    </row>
    <row r="352">
      <c r="A352" s="54">
        <f>IFERROR(__xludf.DUMMYFUNCTION("""COMPUTED_VALUE"""),46093.0)</f>
        <v>46093</v>
      </c>
      <c r="B352" s="48"/>
      <c r="C352" s="48"/>
      <c r="D352" s="48"/>
      <c r="E352" s="53" t="str">
        <f>IFERROR(__xludf.DUMMYFUNCTION("""COMPUTED_VALUE"""),"Reunião de Avaliação da Operação 2025.2 do açude Gerardo Atimbone e Santa Maria de Aracatiaçu")</f>
        <v>Reunião de Avaliação da Operação 2025.2 do açude Gerardo Atimbone e Santa Maria de Aracatiaçu</v>
      </c>
    </row>
    <row r="353">
      <c r="A353" s="54">
        <f>IFERROR(__xludf.DUMMYFUNCTION("""COMPUTED_VALUE"""),46093.0)</f>
        <v>46093</v>
      </c>
      <c r="B353" s="48"/>
      <c r="C353" s="48"/>
      <c r="D353" s="48"/>
      <c r="E353" s="53" t="str">
        <f>IFERROR(__xludf.DUMMYFUNCTION("""COMPUTED_VALUE"""),"Produção de ata da Reunião de Avaliação da Operação 2025.2 do açude Gerardo Atimbone e Santa Maria de Aracatiaçu")</f>
        <v>Produção de ata da Reunião de Avaliação da Operação 2025.2 do açude Gerardo Atimbone e Santa Maria de Aracatiaçu</v>
      </c>
    </row>
    <row r="354">
      <c r="A354" s="54">
        <f>IFERROR(__xludf.DUMMYFUNCTION("""COMPUTED_VALUE"""),46093.0)</f>
        <v>46093</v>
      </c>
      <c r="B354" s="48"/>
      <c r="C354" s="48"/>
      <c r="D354" s="48"/>
      <c r="E354" s="53" t="str">
        <f>IFERROR(__xludf.DUMMYFUNCTION("""COMPUTED_VALUE"""),"Publicação de matéria sobre a avaliação da operação dos açudes de Sobral")</f>
        <v>Publicação de matéria sobre a avaliação da operação dos açudes de Sobral</v>
      </c>
    </row>
    <row r="355">
      <c r="A355" s="54">
        <f>IFERROR(__xludf.DUMMYFUNCTION("""COMPUTED_VALUE"""),46093.0)</f>
        <v>46093</v>
      </c>
      <c r="B355" s="48"/>
      <c r="C355" s="48"/>
      <c r="D355" s="48"/>
      <c r="E355" s="53" t="str">
        <f>IFERROR(__xludf.DUMMYFUNCTION("""COMPUTED_VALUE"""),"Providenciar relatório de parecer técnico da Reunião de Avaliação 2025.2 dos açudes Gerardo Atimbone e Santa Maria de Aracatiaçu")</f>
        <v>Providenciar relatório de parecer técnico da Reunião de Avaliação 2025.2 dos açudes Gerardo Atimbone e Santa Maria de Aracatiaçu</v>
      </c>
    </row>
    <row r="356">
      <c r="A356" s="54">
        <f>IFERROR(__xludf.DUMMYFUNCTION("""COMPUTED_VALUE"""),46093.0)</f>
        <v>46093</v>
      </c>
      <c r="B356" s="48"/>
      <c r="C356" s="48"/>
      <c r="D356" s="48"/>
      <c r="E356" s="53" t="str">
        <f>IFERROR(__xludf.DUMMYFUNCTION("""COMPUTED_VALUE"""),"Lançamento de notas fiscais no Protheus ")</f>
        <v>Lançamento de notas fiscais no Protheus </v>
      </c>
    </row>
    <row r="357">
      <c r="A357" s="54">
        <f>IFERROR(__xludf.DUMMYFUNCTION("""COMPUTED_VALUE"""),46065.0)</f>
        <v>46065</v>
      </c>
      <c r="B357" s="48"/>
      <c r="C357" s="48"/>
      <c r="D357" s="48"/>
      <c r="E357" s="53" t="str">
        <f>IFERROR(__xludf.DUMMYFUNCTION("""COMPUTED_VALUE"""),"Inserir dados das Coletas no SIGERH")</f>
        <v>Inserir dados das Coletas no SIGERH</v>
      </c>
    </row>
    <row r="358">
      <c r="A358" s="54">
        <f>IFERROR(__xludf.DUMMYFUNCTION("""COMPUTED_VALUE"""),46065.0)</f>
        <v>46065</v>
      </c>
      <c r="B358" s="48"/>
      <c r="C358" s="48"/>
      <c r="D358" s="48"/>
      <c r="E358" s="53" t="str">
        <f>IFERROR(__xludf.DUMMYFUNCTION("""COMPUTED_VALUE"""),"Enviar frascos das Coletas aos Correios")</f>
        <v>Enviar frascos das Coletas aos Correios</v>
      </c>
    </row>
    <row r="359">
      <c r="A359" s="54">
        <f>IFERROR(__xludf.DUMMYFUNCTION("""COMPUTED_VALUE"""),46094.0)</f>
        <v>46094</v>
      </c>
      <c r="B359" s="48"/>
      <c r="C359" s="48"/>
      <c r="D359" s="48"/>
      <c r="E359" s="53" t="str">
        <f>IFERROR(__xludf.DUMMYFUNCTION("""COMPUTED_VALUE"""),"Ida aos Tremembés convidar as lideranças femininas para o I Seminário Águas do Litoral")</f>
        <v>Ida aos Tremembés convidar as lideranças femininas para o I Seminário Águas do Litoral</v>
      </c>
    </row>
    <row r="360">
      <c r="A360" s="54">
        <f>IFERROR(__xludf.DUMMYFUNCTION("""COMPUTED_VALUE"""),46094.0)</f>
        <v>46094</v>
      </c>
      <c r="B360" s="48"/>
      <c r="C360" s="48"/>
      <c r="D360" s="48"/>
      <c r="E360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361">
      <c r="A361" s="54">
        <f>IFERROR(__xludf.DUMMYFUNCTION("""COMPUTED_VALUE"""),46094.0)</f>
        <v>46094</v>
      </c>
      <c r="B361" s="48"/>
      <c r="C361" s="48"/>
      <c r="D361" s="48"/>
      <c r="E361" s="53" t="str">
        <f>IFERROR(__xludf.DUMMYFUNCTION("""COMPUTED_VALUE"""),"Realizar prestação de conta de diarias ")</f>
        <v>Realizar prestação de conta de diarias </v>
      </c>
    </row>
    <row r="362">
      <c r="A362" s="54">
        <f>IFERROR(__xludf.DUMMYFUNCTION("""COMPUTED_VALUE"""),46094.0)</f>
        <v>46094</v>
      </c>
      <c r="B362" s="48"/>
      <c r="C362" s="48"/>
      <c r="D362" s="48"/>
      <c r="E362" s="53" t="str">
        <f>IFERROR(__xludf.DUMMYFUNCTION("""COMPUTED_VALUE"""),"Atualização dos dados de Captação e Perenização no SIGERH")</f>
        <v>Atualização dos dados de Captação e Perenização no SIGERH</v>
      </c>
    </row>
    <row r="363">
      <c r="A363" s="54">
        <f>IFERROR(__xludf.DUMMYFUNCTION("""COMPUTED_VALUE"""),46094.0)</f>
        <v>46094</v>
      </c>
      <c r="B363" s="48"/>
      <c r="C363" s="48"/>
      <c r="D363" s="48"/>
      <c r="E363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364">
      <c r="A364" s="54">
        <f>IFERROR(__xludf.DUMMYFUNCTION("""COMPUTED_VALUE"""),46095.0)</f>
        <v>46095</v>
      </c>
      <c r="B364" s="48"/>
      <c r="C364" s="48"/>
      <c r="D364" s="48"/>
      <c r="E364" s="48"/>
    </row>
    <row r="365">
      <c r="A365" s="54">
        <f>IFERROR(__xludf.DUMMYFUNCTION("""COMPUTED_VALUE"""),46096.0)</f>
        <v>46096</v>
      </c>
      <c r="B365" s="48"/>
      <c r="C365" s="48"/>
      <c r="D365" s="48"/>
      <c r="E365" s="48"/>
    </row>
    <row r="366">
      <c r="A366" s="54">
        <f>IFERROR(__xludf.DUMMYFUNCTION("""COMPUTED_VALUE"""),46097.0)</f>
        <v>46097</v>
      </c>
      <c r="B366" s="48"/>
      <c r="C366" s="48"/>
      <c r="D366" s="48"/>
      <c r="E366" s="53" t="str">
        <f>IFERROR(__xludf.DUMMYFUNCTION("""COMPUTED_VALUE"""),"Gravação de vídeo sobre o Dia Internacional das Florestas com a Prof. Hamilton")</f>
        <v>Gravação de vídeo sobre o Dia Internacional das Florestas com a Prof. Hamilton</v>
      </c>
    </row>
    <row r="367">
      <c r="A367" s="54">
        <f>IFERROR(__xludf.DUMMYFUNCTION("""COMPUTED_VALUE"""),46097.0)</f>
        <v>46097</v>
      </c>
      <c r="B367" s="48"/>
      <c r="C367" s="48"/>
      <c r="D367" s="48"/>
      <c r="E367" s="53" t="str">
        <f>IFERROR(__xludf.DUMMYFUNCTION("""COMPUTED_VALUE"""),"Publicação de story sobre o Dia Nacional de Conscientização sobre as Mudanças Climáticas ")</f>
        <v>Publicação de story sobre o Dia Nacional de Conscientização sobre as Mudanças Climáticas </v>
      </c>
    </row>
    <row r="368">
      <c r="A368" s="54">
        <f>IFERROR(__xludf.DUMMYFUNCTION("""COMPUTED_VALUE"""),46097.0)</f>
        <v>46097</v>
      </c>
      <c r="B368" s="48"/>
      <c r="C368" s="48"/>
      <c r="D368" s="48"/>
      <c r="E368" s="53" t="str">
        <f>IFERROR(__xludf.DUMMYFUNCTION("""COMPUTED_VALUE"""),"Publicação de vídeo com contagem regressiva para a realização do I Seminário Águas do Litoral")</f>
        <v>Publicação de vídeo com contagem regressiva para a realização do I Seminário Águas do Litoral</v>
      </c>
    </row>
    <row r="369">
      <c r="A369" s="54">
        <f>IFERROR(__xludf.DUMMYFUNCTION("""COMPUTED_VALUE"""),46097.0)</f>
        <v>46097</v>
      </c>
      <c r="B369" s="48"/>
      <c r="C369" s="48"/>
      <c r="D369" s="48"/>
      <c r="E369" s="53" t="str">
        <f>IFERROR(__xludf.DUMMYFUNCTION("""COMPUTED_VALUE"""),"Inserção de diarias ")</f>
        <v>Inserção de diarias </v>
      </c>
    </row>
    <row r="370">
      <c r="A370" s="54">
        <f>IFERROR(__xludf.DUMMYFUNCTION("""COMPUTED_VALUE"""),46097.0)</f>
        <v>46097</v>
      </c>
      <c r="B370" s="48"/>
      <c r="C370" s="48"/>
      <c r="D370" s="48"/>
      <c r="E370" s="53" t="str">
        <f>IFERROR(__xludf.DUMMYFUNCTION("""COMPUTED_VALUE"""),"Vistoria de Usuários")</f>
        <v>Vistoria de Usuários</v>
      </c>
    </row>
    <row r="371">
      <c r="A371" s="54">
        <f>IFERROR(__xludf.DUMMYFUNCTION("""COMPUTED_VALUE"""),46097.0)</f>
        <v>46097</v>
      </c>
      <c r="B371" s="48"/>
      <c r="C371" s="48"/>
      <c r="D371" s="48"/>
      <c r="E371" s="53" t="str">
        <f>IFERROR(__xludf.DUMMYFUNCTION("""COMPUTED_VALUE"""),"Instrumentação do açude Missi (Piezômetros)")</f>
        <v>Instrumentação do açude Missi (Piezômetros)</v>
      </c>
    </row>
    <row r="372">
      <c r="A372" s="54">
        <f>IFERROR(__xludf.DUMMYFUNCTION("""COMPUTED_VALUE"""),46098.0)</f>
        <v>46098</v>
      </c>
      <c r="B372" s="48"/>
      <c r="C372" s="48"/>
      <c r="D372" s="48"/>
      <c r="E372" s="53" t="str">
        <f>IFERROR(__xludf.DUMMYFUNCTION("""COMPUTED_VALUE"""),"Entrega de veículo S10 a gestão de frotas, busca de insumos mensal no almoxarifado e recebimento de novo veículo s10")</f>
        <v>Entrega de veículo S10 a gestão de frotas, busca de insumos mensal no almoxarifado e recebimento de novo veículo s10</v>
      </c>
    </row>
    <row r="373">
      <c r="A373" s="54">
        <f>IFERROR(__xludf.DUMMYFUNCTION("""COMPUTED_VALUE"""),46098.0)</f>
        <v>46098</v>
      </c>
      <c r="B373" s="48"/>
      <c r="C373" s="48"/>
      <c r="D373" s="48"/>
      <c r="E373" s="53" t="str">
        <f>IFERROR(__xludf.DUMMYFUNCTION("""COMPUTED_VALUE"""),"Publicar story do aniversário do Raimundo Wellington Lino dos Santos (6ª COADS)")</f>
        <v>Publicar story do aniversário do Raimundo Wellington Lino dos Santos (6ª COADS)</v>
      </c>
    </row>
    <row r="374">
      <c r="A374" s="54">
        <f>IFERROR(__xludf.DUMMYFUNCTION("""COMPUTED_VALUE"""),46098.0)</f>
        <v>46098</v>
      </c>
      <c r="B374" s="48"/>
      <c r="C374" s="48"/>
      <c r="D374" s="48"/>
      <c r="E374" s="53" t="str">
        <f>IFERROR(__xludf.DUMMYFUNCTION("""COMPUTED_VALUE"""),"3ª Oficina Hidrossistema Mundaú - Programa Cientista Chefe")</f>
        <v>3ª Oficina Hidrossistema Mundaú - Programa Cientista Chefe</v>
      </c>
    </row>
    <row r="375">
      <c r="A375" s="54">
        <f>IFERROR(__xludf.DUMMYFUNCTION("""COMPUTED_VALUE"""),46098.0)</f>
        <v>46098</v>
      </c>
      <c r="B375" s="48"/>
      <c r="C375" s="48"/>
      <c r="D375" s="48"/>
      <c r="E375" s="53" t="str">
        <f>IFERROR(__xludf.DUMMYFUNCTION("""COMPUTED_VALUE"""),"Produção e publicação de matéria/post sobre a 3ª Oficina do Hidrossistema Mundaú")</f>
        <v>Produção e publicação de matéria/post sobre a 3ª Oficina do Hidrossistema Mundaú</v>
      </c>
    </row>
    <row r="376">
      <c r="A376" s="54">
        <f>IFERROR(__xludf.DUMMYFUNCTION("""COMPUTED_VALUE"""),46098.0)</f>
        <v>46098</v>
      </c>
      <c r="B376" s="48"/>
      <c r="C376" s="48"/>
      <c r="D376" s="48"/>
      <c r="E376" s="53" t="str">
        <f>IFERROR(__xludf.DUMMYFUNCTION("""COMPUTED_VALUE"""),"Produção do relatório de parecer técnico da 3ª Oficina do Hidrossistema Mundaú")</f>
        <v>Produção do relatório de parecer técnico da 3ª Oficina do Hidrossistema Mundaú</v>
      </c>
    </row>
    <row r="377">
      <c r="A377" s="54">
        <f>IFERROR(__xludf.DUMMYFUNCTION("""COMPUTED_VALUE"""),46098.0)</f>
        <v>46098</v>
      </c>
      <c r="B377" s="48"/>
      <c r="C377" s="48"/>
      <c r="D377" s="48"/>
      <c r="E377" s="53" t="str">
        <f>IFERROR(__xludf.DUMMYFUNCTION("""COMPUTED_VALUE"""),"Preenchimento de gestão  de frota ")</f>
        <v>Preenchimento de gestão  de frota </v>
      </c>
    </row>
    <row r="378">
      <c r="A378" s="54">
        <f>IFERROR(__xludf.DUMMYFUNCTION("""COMPUTED_VALUE"""),46098.0)</f>
        <v>46098</v>
      </c>
      <c r="B378" s="48"/>
      <c r="C378" s="48"/>
      <c r="D378" s="48"/>
      <c r="E378" s="53" t="str">
        <f>IFERROR(__xludf.DUMMYFUNCTION("""COMPUTED_VALUE"""),"Vistoria de novos Usuários em itarema ")</f>
        <v>Vistoria de novos Usuários em itarema </v>
      </c>
    </row>
    <row r="379">
      <c r="A379" s="54">
        <f>IFERROR(__xludf.DUMMYFUNCTION("""COMPUTED_VALUE"""),46099.0)</f>
        <v>46099</v>
      </c>
      <c r="B379" s="48"/>
      <c r="C379" s="48"/>
      <c r="D379" s="48"/>
      <c r="E379" s="53" t="str">
        <f>IFERROR(__xludf.DUMMYFUNCTION("""COMPUTED_VALUE"""),"Gravação com a Gotinha no açude Poço Verde alusivo ao Dia Mundial da Água")</f>
        <v>Gravação com a Gotinha no açude Poço Verde alusivo ao Dia Mundial da Água</v>
      </c>
    </row>
    <row r="380">
      <c r="A380" s="54">
        <f>IFERROR(__xludf.DUMMYFUNCTION("""COMPUTED_VALUE"""),46099.0)</f>
        <v>46099</v>
      </c>
      <c r="B380" s="48"/>
      <c r="C380" s="48"/>
      <c r="D380" s="48"/>
      <c r="E380" s="53" t="str">
        <f>IFERROR(__xludf.DUMMYFUNCTION("""COMPUTED_VALUE"""),"Providenciar o planejamento das ações de 2027 ")</f>
        <v>Providenciar o planejamento das ações de 2027 </v>
      </c>
    </row>
    <row r="381">
      <c r="A381" s="54">
        <f>IFERROR(__xludf.DUMMYFUNCTION("""COMPUTED_VALUE"""),46099.0)</f>
        <v>46099</v>
      </c>
      <c r="B381" s="48"/>
      <c r="C381" s="48"/>
      <c r="D381" s="48"/>
      <c r="E381" s="53" t="str">
        <f>IFERROR(__xludf.DUMMYFUNCTION("""COMPUTED_VALUE"""),"Realizar prestação de conta de diarias ")</f>
        <v>Realizar prestação de conta de diarias </v>
      </c>
    </row>
    <row r="382">
      <c r="A382" s="54">
        <f>IFERROR(__xludf.DUMMYFUNCTION("""COMPUTED_VALUE"""),46099.0)</f>
        <v>46099</v>
      </c>
      <c r="B382" s="48"/>
      <c r="C382" s="48"/>
      <c r="D382" s="48"/>
      <c r="E382" s="53" t="str">
        <f>IFERROR(__xludf.DUMMYFUNCTION("""COMPUTED_VALUE"""),"Lançamento de notas fiscais no Protheus ")</f>
        <v>Lançamento de notas fiscais no Protheus </v>
      </c>
    </row>
    <row r="383">
      <c r="A383" s="54">
        <f>IFERROR(__xludf.DUMMYFUNCTION("""COMPUTED_VALUE"""),46099.0)</f>
        <v>46099</v>
      </c>
      <c r="B383" s="48"/>
      <c r="C383" s="48"/>
      <c r="D383" s="48"/>
      <c r="E383" s="53" t="str">
        <f>IFERROR(__xludf.DUMMYFUNCTION("""COMPUTED_VALUE"""),"Medição de Vazão nas captações dos açudes Patos e Santo Antonio de Aracatiaçu")</f>
        <v>Medição de Vazão nas captações dos açudes Patos e Santo Antonio de Aracatiaçu</v>
      </c>
    </row>
    <row r="384">
      <c r="A384" s="54">
        <f>IFERROR(__xludf.DUMMYFUNCTION("""COMPUTED_VALUE"""),46099.0)</f>
        <v>46099</v>
      </c>
      <c r="B384" s="48"/>
      <c r="C384" s="48"/>
      <c r="D384" s="48"/>
      <c r="E384" s="53" t="str">
        <f>IFERROR(__xludf.DUMMYFUNCTION("""COMPUTED_VALUE"""),"Atualização da planilha do indicador de Fiscalizações e Produção de relatórios de Vistoria em Usuários")</f>
        <v>Atualização da planilha do indicador de Fiscalizações e Produção de relatórios de Vistoria em Usuários</v>
      </c>
    </row>
    <row r="385">
      <c r="A385" s="54">
        <f>IFERROR(__xludf.DUMMYFUNCTION("""COMPUTED_VALUE"""),46100.0)</f>
        <v>46100</v>
      </c>
      <c r="B385" s="48"/>
      <c r="C385" s="48"/>
      <c r="D385" s="48"/>
      <c r="E385" s="53" t="str">
        <f>IFERROR(__xludf.DUMMYFUNCTION("""COMPUTED_VALUE"""),"DIA DE SÃO JOSÉ")</f>
        <v>DIA DE SÃO JOSÉ</v>
      </c>
    </row>
    <row r="386">
      <c r="A386" s="54">
        <f>IFERROR(__xludf.DUMMYFUNCTION("""COMPUTED_VALUE"""),46100.0)</f>
        <v>46100</v>
      </c>
      <c r="B386" s="48"/>
      <c r="C386" s="48"/>
      <c r="D386" s="48"/>
      <c r="E386" s="53" t="str">
        <f>IFERROR(__xludf.DUMMYFUNCTION("""COMPUTED_VALUE"""),"Publicar sotory do aniversário do José Limário Praciano de Sousa (SEMA)")</f>
        <v>Publicar sotory do aniversário do José Limário Praciano de Sousa (SEMA)</v>
      </c>
    </row>
    <row r="387">
      <c r="A387" s="54">
        <f>IFERROR(__xludf.DUMMYFUNCTION("""COMPUTED_VALUE"""),46101.0)</f>
        <v>46101</v>
      </c>
      <c r="B387" s="48"/>
      <c r="C387" s="48"/>
      <c r="D387" s="48"/>
      <c r="E387" s="53" t="str">
        <f>IFERROR(__xludf.DUMMYFUNCTION("""COMPUTED_VALUE"""),"Publicar story do aniversário de Aline Parente Oliveira (SEMA)")</f>
        <v>Publicar story do aniversário de Aline Parente Oliveira (SEMA)</v>
      </c>
    </row>
    <row r="388">
      <c r="A388" s="54">
        <f>IFERROR(__xludf.DUMMYFUNCTION("""COMPUTED_VALUE"""),46101.0)</f>
        <v>46101</v>
      </c>
      <c r="B388" s="48"/>
      <c r="C388" s="48"/>
      <c r="D388" s="48"/>
      <c r="E388" s="53" t="str">
        <f>IFERROR(__xludf.DUMMYFUNCTION("""COMPUTED_VALUE"""),"XI Romaria das Águas // Itapipoca")</f>
        <v>XI Romaria das Águas // Itapipoca</v>
      </c>
    </row>
    <row r="389">
      <c r="A389" s="54">
        <f>IFERROR(__xludf.DUMMYFUNCTION("""COMPUTED_VALUE"""),46101.0)</f>
        <v>46101</v>
      </c>
      <c r="B389" s="48"/>
      <c r="C389" s="48"/>
      <c r="D389" s="48"/>
      <c r="E389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390">
      <c r="A390" s="54">
        <f>IFERROR(__xludf.DUMMYFUNCTION("""COMPUTED_VALUE"""),46101.0)</f>
        <v>46101</v>
      </c>
      <c r="B390" s="48"/>
      <c r="C390" s="48"/>
      <c r="D390" s="48"/>
      <c r="E390" s="53" t="str">
        <f>IFERROR(__xludf.DUMMYFUNCTION("""COMPUTED_VALUE"""),"Realizar prestação de conta de diarias ")</f>
        <v>Realizar prestação de conta de diarias </v>
      </c>
    </row>
    <row r="391">
      <c r="A391" s="54">
        <f>IFERROR(__xludf.DUMMYFUNCTION("""COMPUTED_VALUE"""),46101.0)</f>
        <v>46101</v>
      </c>
      <c r="B391" s="48"/>
      <c r="C391" s="48"/>
      <c r="D391" s="48"/>
      <c r="E391" s="53" t="str">
        <f>IFERROR(__xludf.DUMMYFUNCTION("""COMPUTED_VALUE"""),"Atualização dos dados de Captação e Perenização no SIGERH")</f>
        <v>Atualização dos dados de Captação e Perenização no SIGERH</v>
      </c>
    </row>
    <row r="392">
      <c r="A392" s="54">
        <f>IFERROR(__xludf.DUMMYFUNCTION("""COMPUTED_VALUE"""),46101.0)</f>
        <v>46101</v>
      </c>
      <c r="B392" s="48"/>
      <c r="C392" s="48"/>
      <c r="D392" s="48"/>
      <c r="E392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393">
      <c r="A393" s="54">
        <f>IFERROR(__xludf.DUMMYFUNCTION("""COMPUTED_VALUE"""),46102.0)</f>
        <v>46102</v>
      </c>
      <c r="B393" s="48"/>
      <c r="C393" s="48"/>
      <c r="D393" s="48"/>
      <c r="E393" s="53" t="str">
        <f>IFERROR(__xludf.DUMMYFUNCTION("""COMPUTED_VALUE"""),"Publicação de vídeo com legenda sobre o Dia Internacional das Florestas")</f>
        <v>Publicação de vídeo com legenda sobre o Dia Internacional das Florestas</v>
      </c>
    </row>
    <row r="394">
      <c r="A394" s="54">
        <f>IFERROR(__xludf.DUMMYFUNCTION("""COMPUTED_VALUE"""),46103.0)</f>
        <v>46103</v>
      </c>
      <c r="B394" s="48"/>
      <c r="C394" s="48"/>
      <c r="D394" s="48"/>
      <c r="E394" s="53" t="str">
        <f>IFERROR(__xludf.DUMMYFUNCTION("""COMPUTED_VALUE"""),"Publicação de vídeo sobre o Dia Mundial da Água")</f>
        <v>Publicação de vídeo sobre o Dia Mundial da Água</v>
      </c>
    </row>
    <row r="395">
      <c r="A395" s="54">
        <f>IFERROR(__xludf.DUMMYFUNCTION("""COMPUTED_VALUE"""),46104.0)</f>
        <v>46104</v>
      </c>
      <c r="B395" s="48"/>
      <c r="C395" s="48"/>
      <c r="D395" s="48"/>
      <c r="E395" s="53" t="str">
        <f>IFERROR(__xludf.DUMMYFUNCTION("""COMPUTED_VALUE"""),"Publicar story do Dia Mundial da Meteorologia (Fernanda)")</f>
        <v>Publicar story do Dia Mundial da Meteorologia (Fernanda)</v>
      </c>
    </row>
    <row r="396">
      <c r="A396" s="54">
        <f>IFERROR(__xludf.DUMMYFUNCTION("""COMPUTED_VALUE"""),46104.0)</f>
        <v>46104</v>
      </c>
      <c r="B396" s="48"/>
      <c r="C396" s="48"/>
      <c r="D396" s="48"/>
      <c r="E396" s="53" t="str">
        <f>IFERROR(__xludf.DUMMYFUNCTION("""COMPUTED_VALUE"""),"Programação das publicações das redes sociais do CBH Litoral para abril")</f>
        <v>Programação das publicações das redes sociais do CBH Litoral para abril</v>
      </c>
    </row>
    <row r="397">
      <c r="A397" s="54">
        <f>IFERROR(__xludf.DUMMYFUNCTION("""COMPUTED_VALUE"""),46104.0)</f>
        <v>46104</v>
      </c>
      <c r="B397" s="48"/>
      <c r="C397" s="48"/>
      <c r="D397" s="48"/>
      <c r="E397" s="53" t="str">
        <f>IFERROR(__xludf.DUMMYFUNCTION("""COMPUTED_VALUE"""),"Organização de documentos para o I Seminário Águas do Litoral")</f>
        <v>Organização de documentos para o I Seminário Águas do Litoral</v>
      </c>
    </row>
    <row r="398">
      <c r="A398" s="54">
        <f>IFERROR(__xludf.DUMMYFUNCTION("""COMPUTED_VALUE"""),46104.0)</f>
        <v>46104</v>
      </c>
      <c r="B398" s="48"/>
      <c r="C398" s="48"/>
      <c r="D398" s="48"/>
      <c r="E398" s="53" t="str">
        <f>IFERROR(__xludf.DUMMYFUNCTION("""COMPUTED_VALUE"""),"Confirmar presença dos membros no I Seminário Águas do Litoral ")</f>
        <v>Confirmar presença dos membros no I Seminário Águas do Litoral </v>
      </c>
    </row>
    <row r="399">
      <c r="A399" s="54">
        <f>IFERROR(__xludf.DUMMYFUNCTION("""COMPUTED_VALUE"""),46104.0)</f>
        <v>46104</v>
      </c>
      <c r="B399" s="48"/>
      <c r="C399" s="48"/>
      <c r="D399" s="48"/>
      <c r="E399" s="53" t="str">
        <f>IFERROR(__xludf.DUMMYFUNCTION("""COMPUTED_VALUE"""),"Inserção de diarias ")</f>
        <v>Inserção de diarias </v>
      </c>
    </row>
    <row r="400">
      <c r="A400" s="54">
        <f>IFERROR(__xludf.DUMMYFUNCTION("""COMPUTED_VALUE"""),46104.0)</f>
        <v>46104</v>
      </c>
      <c r="B400" s="48"/>
      <c r="C400" s="48"/>
      <c r="D400" s="48"/>
      <c r="E400" s="53" t="str">
        <f>IFERROR(__xludf.DUMMYFUNCTION("""COMPUTED_VALUE"""),"Visita Técnica, verificação de correção de anomalias e Medição de Vazão nas captações no açude Quandu")</f>
        <v>Visita Técnica, verificação de correção de anomalias e Medição de Vazão nas captações no açude Quandu</v>
      </c>
    </row>
    <row r="401">
      <c r="A401" s="54">
        <f>IFERROR(__xludf.DUMMYFUNCTION("""COMPUTED_VALUE"""),46104.0)</f>
        <v>46104</v>
      </c>
      <c r="B401" s="48"/>
      <c r="C401" s="48"/>
      <c r="D401" s="48"/>
      <c r="E401" s="53" t="str">
        <f>IFERROR(__xludf.DUMMYFUNCTION("""COMPUTED_VALUE"""),"Lacre Minermac")</f>
        <v>Lacre Minermac</v>
      </c>
    </row>
    <row r="402">
      <c r="A402" s="54">
        <f>IFERROR(__xludf.DUMMYFUNCTION("""COMPUTED_VALUE"""),46105.0)</f>
        <v>46105</v>
      </c>
      <c r="B402" s="48"/>
      <c r="C402" s="48"/>
      <c r="D402" s="48"/>
      <c r="E402" s="53" t="str">
        <f>IFERROR(__xludf.DUMMYFUNCTION("""COMPUTED_VALUE"""),"Preenchimento de gestão  de frota ")</f>
        <v>Preenchimento de gestão  de frota </v>
      </c>
    </row>
    <row r="403">
      <c r="A403" s="54">
        <f>IFERROR(__xludf.DUMMYFUNCTION("""COMPUTED_VALUE"""),46105.0)</f>
        <v>46105</v>
      </c>
      <c r="B403" s="48"/>
      <c r="C403" s="48"/>
      <c r="D403" s="48"/>
      <c r="E403" s="48"/>
    </row>
    <row r="404">
      <c r="A404" s="54">
        <f>IFERROR(__xludf.DUMMYFUNCTION("""COMPUTED_VALUE"""),46105.0)</f>
        <v>46105</v>
      </c>
      <c r="B404" s="48"/>
      <c r="C404" s="48"/>
      <c r="D404" s="48"/>
      <c r="E404" s="53" t="str">
        <f>IFERROR(__xludf.DUMMYFUNCTION("""COMPUTED_VALUE"""),"Visita Técnica e verificação de correção de anomalias no açude Gameleira")</f>
        <v>Visita Técnica e verificação de correção de anomalias no açude Gameleira</v>
      </c>
    </row>
    <row r="405">
      <c r="A405" s="54">
        <f>IFERROR(__xludf.DUMMYFUNCTION("""COMPUTED_VALUE"""),46106.0)</f>
        <v>46106</v>
      </c>
      <c r="B405" s="48"/>
      <c r="C405" s="48"/>
      <c r="D405" s="48"/>
      <c r="E405" s="53" t="str">
        <f>IFERROR(__xludf.DUMMYFUNCTION("""COMPUTED_VALUE"""),"DATA MAGNA")</f>
        <v>DATA MAGNA</v>
      </c>
    </row>
    <row r="406">
      <c r="A406" s="54">
        <f>IFERROR(__xludf.DUMMYFUNCTION("""COMPUTED_VALUE"""),46107.0)</f>
        <v>46107</v>
      </c>
      <c r="B406" s="48"/>
      <c r="C406" s="48"/>
      <c r="D406" s="48"/>
      <c r="E406" s="53" t="str">
        <f>IFERROR(__xludf.DUMMYFUNCTION("""COMPUTED_VALUE"""),"Apoio logístico para a Profa. Daniele Costa, uma das palestrantes do I Seminário Águas do Litoral")</f>
        <v>Apoio logístico para a Profa. Daniele Costa, uma das palestrantes do I Seminário Águas do Litoral</v>
      </c>
    </row>
    <row r="407">
      <c r="A407" s="54">
        <f>IFERROR(__xludf.DUMMYFUNCTION("""COMPUTED_VALUE"""),46107.0)</f>
        <v>46107</v>
      </c>
      <c r="B407" s="48"/>
      <c r="C407" s="48"/>
      <c r="D407" s="48"/>
      <c r="E407" s="53" t="str">
        <f>IFERROR(__xludf.DUMMYFUNCTION("""COMPUTED_VALUE"""),"I Seminário Águas do Litoral ")</f>
        <v>I Seminário Águas do Litoral </v>
      </c>
    </row>
    <row r="408">
      <c r="A408" s="54">
        <f>IFERROR(__xludf.DUMMYFUNCTION("""COMPUTED_VALUE"""),46107.0)</f>
        <v>46107</v>
      </c>
      <c r="B408" s="48"/>
      <c r="C408" s="48"/>
      <c r="D408" s="48"/>
      <c r="E408" s="53" t="str">
        <f>IFERROR(__xludf.DUMMYFUNCTION("""COMPUTED_VALUE"""),"Publicação de post sobre I Seminário Águas do Litoral")</f>
        <v>Publicação de post sobre I Seminário Águas do Litoral</v>
      </c>
    </row>
    <row r="409">
      <c r="A409" s="54">
        <f>IFERROR(__xludf.DUMMYFUNCTION("""COMPUTED_VALUE"""),46107.0)</f>
        <v>46107</v>
      </c>
      <c r="B409" s="48"/>
      <c r="C409" s="48"/>
      <c r="D409" s="48"/>
      <c r="E409" s="53" t="str">
        <f>IFERROR(__xludf.DUMMYFUNCTION("""COMPUTED_VALUE"""),"Solitação de materiais ao Almoxarifado")</f>
        <v>Solitação de materiais ao Almoxarifado</v>
      </c>
    </row>
    <row r="410">
      <c r="A410" s="54">
        <f>IFERROR(__xludf.DUMMYFUNCTION("""COMPUTED_VALUE"""),46108.0)</f>
        <v>46108</v>
      </c>
      <c r="B410" s="48"/>
      <c r="C410" s="48"/>
      <c r="D410" s="48"/>
      <c r="E410" s="53" t="str">
        <f>IFERROR(__xludf.DUMMYFUNCTION("""COMPUTED_VALUE"""),"Publicar story do aniversário de Francisco Evaristo Lopes Maciel (Associação Comunitária dos Moradores da Fazendo São José) ")</f>
        <v>Publicar story do aniversário de Francisco Evaristo Lopes Maciel (Associação Comunitária dos Moradores da Fazendo São José) </v>
      </c>
    </row>
    <row r="411">
      <c r="A411" s="54">
        <f>IFERROR(__xludf.DUMMYFUNCTION("""COMPUTED_VALUE"""),46108.0)</f>
        <v>46108</v>
      </c>
      <c r="B411" s="48"/>
      <c r="C411" s="48"/>
      <c r="D411" s="48"/>
      <c r="E411" s="53" t="str">
        <f>IFERROR(__xludf.DUMMYFUNCTION("""COMPUTED_VALUE"""),"Produção de relatório do I Seminário Águas do Litoral")</f>
        <v>Produção de relatório do I Seminário Águas do Litoral</v>
      </c>
    </row>
    <row r="412">
      <c r="A412" s="54">
        <f>IFERROR(__xludf.DUMMYFUNCTION("""COMPUTED_VALUE"""),46108.0)</f>
        <v>46108</v>
      </c>
      <c r="B412" s="48"/>
      <c r="C412" s="48"/>
      <c r="D412" s="48"/>
      <c r="E412" s="53" t="str">
        <f>IFERROR(__xludf.DUMMYFUNCTION("""COMPUTED_VALUE"""),"Produção de parecer técnico do I Seminário Águas do Litoral ")</f>
        <v>Produção de parecer técnico do I Seminário Águas do Litoral </v>
      </c>
    </row>
    <row r="413">
      <c r="A413" s="54">
        <f>IFERROR(__xludf.DUMMYFUNCTION("""COMPUTED_VALUE"""),46108.0)</f>
        <v>46108</v>
      </c>
      <c r="B413" s="48"/>
      <c r="C413" s="48"/>
      <c r="D413" s="48"/>
      <c r="E413" s="53" t="str">
        <f>IFERROR(__xludf.DUMMYFUNCTION("""COMPUTED_VALUE"""),"Produção de declarações do I Seminário Águas do Litoral")</f>
        <v>Produção de declarações do I Seminário Águas do Litoral</v>
      </c>
    </row>
    <row r="414">
      <c r="A414" s="54">
        <f>IFERROR(__xludf.DUMMYFUNCTION("""COMPUTED_VALUE"""),46108.0)</f>
        <v>46108</v>
      </c>
      <c r="B414" s="48"/>
      <c r="C414" s="48"/>
      <c r="D414" s="48"/>
      <c r="E414" s="53" t="str">
        <f>IFERROR(__xludf.DUMMYFUNCTION("""COMPUTED_VALUE"""),"Incluir programação de abril no drive da Gestão Participativa e Gerência Regional ")</f>
        <v>Incluir programação de abril no drive da Gestão Participativa e Gerência Regional </v>
      </c>
    </row>
    <row r="415">
      <c r="A415" s="54">
        <f>IFERROR(__xludf.DUMMYFUNCTION("""COMPUTED_VALUE"""),46108.0)</f>
        <v>46108</v>
      </c>
      <c r="B415" s="48"/>
      <c r="C415" s="48"/>
      <c r="D415" s="48"/>
      <c r="E415" s="53" t="str">
        <f>IFERROR(__xludf.DUMMYFUNCTION("""COMPUTED_VALUE"""),"Atualizar planilha da Gerência Regional e Gestão Participativa com atividades programadas da semana (Sandrinha) // virtual")</f>
        <v>Atualizar planilha da Gerência Regional e Gestão Participativa com atividades programadas da semana (Sandrinha) // virtual</v>
      </c>
    </row>
    <row r="416">
      <c r="A416" s="54">
        <f>IFERROR(__xludf.DUMMYFUNCTION("""COMPUTED_VALUE"""),46108.0)</f>
        <v>46108</v>
      </c>
      <c r="B416" s="48"/>
      <c r="C416" s="48"/>
      <c r="D416" s="48"/>
      <c r="E416" s="53" t="str">
        <f>IFERROR(__xludf.DUMMYFUNCTION("""COMPUTED_VALUE"""),"Realizar prestação de conta de diarias ")</f>
        <v>Realizar prestação de conta de diarias </v>
      </c>
    </row>
    <row r="417">
      <c r="A417" s="54">
        <f>IFERROR(__xludf.DUMMYFUNCTION("""COMPUTED_VALUE"""),46108.0)</f>
        <v>46108</v>
      </c>
      <c r="B417" s="48"/>
      <c r="C417" s="48"/>
      <c r="D417" s="48"/>
      <c r="E417" s="53" t="str">
        <f>IFERROR(__xludf.DUMMYFUNCTION("""COMPUTED_VALUE"""),"Visita Técnica, verificação de correção de anomalias e Medição de Vazão nas captações nos açudes Missi e São Pedro da Timbaúba / avaliação da casa do agir")</f>
        <v>Visita Técnica, verificação de correção de anomalias e Medição de Vazão nas captações nos açudes Missi e São Pedro da Timbaúba / avaliação da casa do agir</v>
      </c>
    </row>
    <row r="418">
      <c r="A418" s="54">
        <f>IFERROR(__xludf.DUMMYFUNCTION("""COMPUTED_VALUE"""),46108.0)</f>
        <v>46108</v>
      </c>
      <c r="B418" s="48"/>
      <c r="C418" s="48"/>
      <c r="D418" s="48"/>
      <c r="E418" s="53" t="str">
        <f>IFERROR(__xludf.DUMMYFUNCTION("""COMPUTED_VALUE"""),"Atualização dos dados de Captação e Perenização no SIGERH")</f>
        <v>Atualização dos dados de Captação e Perenização no SIGERH</v>
      </c>
    </row>
    <row r="419">
      <c r="A419" s="54">
        <f>IFERROR(__xludf.DUMMYFUNCTION("""COMPUTED_VALUE"""),46108.0)</f>
        <v>46108</v>
      </c>
      <c r="B419" s="48"/>
      <c r="C419" s="48"/>
      <c r="D419" s="48"/>
      <c r="E419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420">
      <c r="A420" s="54">
        <f>IFERROR(__xludf.DUMMYFUNCTION("""COMPUTED_VALUE"""),46109.0)</f>
        <v>46109</v>
      </c>
      <c r="B420" s="48"/>
      <c r="C420" s="48"/>
      <c r="D420" s="48"/>
      <c r="E420" s="48"/>
    </row>
    <row r="421">
      <c r="A421" s="54">
        <f>IFERROR(__xludf.DUMMYFUNCTION("""COMPUTED_VALUE"""),46110.0)</f>
        <v>46110</v>
      </c>
      <c r="B421" s="48"/>
      <c r="C421" s="48"/>
      <c r="D421" s="48"/>
      <c r="E421" s="48"/>
    </row>
    <row r="422">
      <c r="A422" s="54">
        <f>IFERROR(__xludf.DUMMYFUNCTION("""COMPUTED_VALUE"""),46111.0)</f>
        <v>46111</v>
      </c>
      <c r="B422" s="48"/>
      <c r="C422" s="48"/>
      <c r="D422" s="48"/>
      <c r="E422" s="53" t="str">
        <f>IFERROR(__xludf.DUMMYFUNCTION("""COMPUTED_VALUE"""),"Reunião de alinhamento (todos)")</f>
        <v>Reunião de alinhamento (todos)</v>
      </c>
    </row>
    <row r="423">
      <c r="A423" s="54">
        <f>IFERROR(__xludf.DUMMYFUNCTION("""COMPUTED_VALUE"""),46111.0)</f>
        <v>46111</v>
      </c>
      <c r="B423" s="48"/>
      <c r="C423" s="48"/>
      <c r="D423" s="48"/>
      <c r="E423" s="53" t="str">
        <f>IFERROR(__xludf.DUMMYFUNCTION("""COMPUTED_VALUE"""),"Providenciar agenda das atividades do CBH Litoral em abril")</f>
        <v>Providenciar agenda das atividades do CBH Litoral em abril</v>
      </c>
    </row>
    <row r="424">
      <c r="A424" s="54">
        <f>IFERROR(__xludf.DUMMYFUNCTION("""COMPUTED_VALUE"""),46111.0)</f>
        <v>46111</v>
      </c>
      <c r="B424" s="48"/>
      <c r="C424" s="48"/>
      <c r="D424" s="48"/>
      <c r="E424" s="53" t="str">
        <f>IFERROR(__xludf.DUMMYFUNCTION("""COMPUTED_VALUE"""),"Providenciar stories dos aniversariantes do mês de abril")</f>
        <v>Providenciar stories dos aniversariantes do mês de abril</v>
      </c>
    </row>
    <row r="425">
      <c r="A425" s="54">
        <f>IFERROR(__xludf.DUMMYFUNCTION("""COMPUTED_VALUE"""),46111.0)</f>
        <v>46111</v>
      </c>
      <c r="B425" s="48"/>
      <c r="C425" s="48"/>
      <c r="D425" s="48"/>
      <c r="E425" s="53" t="str">
        <f>IFERROR(__xludf.DUMMYFUNCTION("""COMPUTED_VALUE"""),"Inserção de diarias ")</f>
        <v>Inserção de diarias </v>
      </c>
    </row>
    <row r="426">
      <c r="A426" s="54">
        <f>IFERROR(__xludf.DUMMYFUNCTION("""COMPUTED_VALUE"""),46111.0)</f>
        <v>46111</v>
      </c>
      <c r="B426" s="48"/>
      <c r="C426" s="48"/>
      <c r="D426" s="48"/>
      <c r="E426" s="53" t="str">
        <f>IFERROR(__xludf.DUMMYFUNCTION("""COMPUTED_VALUE"""),"Monitoramento dos Poços e Vistoria em Usuários")</f>
        <v>Monitoramento dos Poços e Vistoria em Usuários</v>
      </c>
    </row>
    <row r="427">
      <c r="A427" s="54">
        <f>IFERROR(__xludf.DUMMYFUNCTION("""COMPUTED_VALUE"""),46111.0)</f>
        <v>46111</v>
      </c>
      <c r="B427" s="48"/>
      <c r="C427" s="48"/>
      <c r="D427" s="48"/>
      <c r="E427" s="53" t="str">
        <f>IFERROR(__xludf.DUMMYFUNCTION("""COMPUTED_VALUE"""),"Inserir dados do Monitoramento dos Poços na planilha de acompanhamento")</f>
        <v>Inserir dados do Monitoramento dos Poços na planilha de acompanhamento</v>
      </c>
    </row>
    <row r="428">
      <c r="A428" s="54">
        <f>IFERROR(__xludf.DUMMYFUNCTION("""COMPUTED_VALUE"""),46111.0)</f>
        <v>46111</v>
      </c>
      <c r="B428" s="48"/>
      <c r="C428" s="48"/>
      <c r="D428" s="48"/>
      <c r="E428" s="53" t="str">
        <f>IFERROR(__xludf.DUMMYFUNCTION("""COMPUTED_VALUE"""),"Instrumentação do açude Missi (Piezômetros)")</f>
        <v>Instrumentação do açude Missi (Piezômetros)</v>
      </c>
    </row>
    <row r="429">
      <c r="A429" s="54">
        <f>IFERROR(__xludf.DUMMYFUNCTION("""COMPUTED_VALUE"""),46112.0)</f>
        <v>46112</v>
      </c>
      <c r="B429" s="48"/>
      <c r="C429" s="48"/>
      <c r="D429" s="48"/>
      <c r="E429" s="53" t="str">
        <f>IFERROR(__xludf.DUMMYFUNCTION("""COMPUTED_VALUE"""),"Publicar story do aniversário da Francisca Albertina Teixeira Nascimento (STRAAF Sobral) ")</f>
        <v>Publicar story do aniversário da Francisca Albertina Teixeira Nascimento (STRAAF Sobral) </v>
      </c>
    </row>
    <row r="430">
      <c r="A430" s="54">
        <f>IFERROR(__xludf.DUMMYFUNCTION("""COMPUTED_VALUE"""),46112.0)</f>
        <v>46112</v>
      </c>
      <c r="B430" s="48"/>
      <c r="C430" s="48"/>
      <c r="D430" s="48"/>
      <c r="E430" s="53" t="str">
        <f>IFERROR(__xludf.DUMMYFUNCTION("""COMPUTED_VALUE"""),"Produção e envio do relatório do Indicador de Instalação e Manutenção de Medidores")</f>
        <v>Produção e envio do relatório do Indicador de Instalação e Manutenção de Medidores</v>
      </c>
    </row>
    <row r="431">
      <c r="A431" s="54">
        <f>IFERROR(__xludf.DUMMYFUNCTION("""COMPUTED_VALUE"""),46112.0)</f>
        <v>46112</v>
      </c>
      <c r="B431" s="48"/>
      <c r="C431" s="48"/>
      <c r="D431" s="48"/>
      <c r="E431" s="53" t="str">
        <f>IFERROR(__xludf.DUMMYFUNCTION("""COMPUTED_VALUE"""),"Visita Técnica e verificação de correção de anomalias no açude Poço Verde")</f>
        <v>Visita Técnica e verificação de correção de anomalias no açude Poço Verde</v>
      </c>
    </row>
    <row r="432">
      <c r="A432" s="54">
        <f>IFERROR(__xludf.DUMMYFUNCTION("""COMPUTED_VALUE"""),46113.0)</f>
        <v>46113</v>
      </c>
      <c r="B432" s="48"/>
      <c r="C432" s="48"/>
      <c r="D432" s="48"/>
      <c r="E432" s="53" t="str">
        <f>IFERROR(__xludf.DUMMYFUNCTION("""COMPUTED_VALUE"""),"Publicação de story com o calendário de abril no Instagram do CBH Litoral")</f>
        <v>Publicação de story com o calendário de abril no Instagram do CBH Litoral</v>
      </c>
    </row>
    <row r="433">
      <c r="A433" s="54">
        <f>IFERROR(__xludf.DUMMYFUNCTION("""COMPUTED_VALUE"""),46113.0)</f>
        <v>46113</v>
      </c>
      <c r="B433" s="48"/>
      <c r="C433" s="48"/>
      <c r="D433" s="48"/>
      <c r="E433" s="53" t="str">
        <f>IFERROR(__xludf.DUMMYFUNCTION("""COMPUTED_VALUE"""),"Mobilização para a 1ª Oficina do Plano de Secas do açude Poço Verde")</f>
        <v>Mobilização para a 1ª Oficina do Plano de Secas do açude Poço Verde</v>
      </c>
    </row>
    <row r="434">
      <c r="A434" s="54">
        <f>IFERROR(__xludf.DUMMYFUNCTION("""COMPUTED_VALUE"""),46113.0)</f>
        <v>46113</v>
      </c>
      <c r="B434" s="48"/>
      <c r="C434" s="48"/>
      <c r="D434" s="48"/>
      <c r="E434" s="53" t="str">
        <f>IFERROR(__xludf.DUMMYFUNCTION("""COMPUTED_VALUE"""),"Mobilização para a 3ª Reunião com a Diretoria do CBH Litoral")</f>
        <v>Mobilização para a 3ª Reunião com a Diretoria do CBH Litoral</v>
      </c>
    </row>
    <row r="435">
      <c r="A435" s="54">
        <f>IFERROR(__xludf.DUMMYFUNCTION("""COMPUTED_VALUE"""),46113.0)</f>
        <v>46113</v>
      </c>
      <c r="B435" s="48"/>
      <c r="C435" s="48"/>
      <c r="D435" s="48"/>
      <c r="E435" s="53" t="str">
        <f>IFERROR(__xludf.DUMMYFUNCTION("""COMPUTED_VALUE"""),"Contato com Carol para agendar gravação sobre o Dia Mundial da Reciclagem")</f>
        <v>Contato com Carol para agendar gravação sobre o Dia Mundial da Reciclagem</v>
      </c>
    </row>
    <row r="436">
      <c r="A436" s="54">
        <f>IFERROR(__xludf.DUMMYFUNCTION("""COMPUTED_VALUE"""),46113.0)</f>
        <v>46113</v>
      </c>
      <c r="B436" s="48"/>
      <c r="C436" s="48"/>
      <c r="D436" s="48"/>
      <c r="E436" s="53" t="str">
        <f>IFERROR(__xludf.DUMMYFUNCTION("""COMPUTED_VALUE"""),"Contato com Nádria para agendar gravação sobre o Dia Mundial da Biodiversidade ")</f>
        <v>Contato com Nádria para agendar gravação sobre o Dia Mundial da Biodiversidade </v>
      </c>
    </row>
    <row r="437">
      <c r="A437" s="54">
        <f>IFERROR(__xludf.DUMMYFUNCTION("""COMPUTED_VALUE"""),46113.0)</f>
        <v>46113</v>
      </c>
      <c r="B437" s="48"/>
      <c r="C437" s="48"/>
      <c r="D437" s="48"/>
      <c r="E437" s="53" t="str">
        <f>IFERROR(__xludf.DUMMYFUNCTION("""COMPUTED_VALUE"""),"Produção de matéria sobre a 3ª Reunião com a Diretoria do CBH Litoral")</f>
        <v>Produção de matéria sobre a 3ª Reunião com a Diretoria do CBH Litoral</v>
      </c>
    </row>
    <row r="438">
      <c r="A438" s="54">
        <f>IFERROR(__xludf.DUMMYFUNCTION("""COMPUTED_VALUE"""),46113.0)</f>
        <v>46113</v>
      </c>
      <c r="B438" s="48"/>
      <c r="C438" s="48"/>
      <c r="D438" s="48"/>
      <c r="E438" s="53" t="str">
        <f>IFERROR(__xludf.DUMMYFUNCTION("""COMPUTED_VALUE"""),"Organizar contatos para o diagnóstico do açude Gameleira")</f>
        <v>Organizar contatos para o diagnóstico do açude Gameleira</v>
      </c>
    </row>
    <row r="439">
      <c r="A439" s="54">
        <f>IFERROR(__xludf.DUMMYFUNCTION("""COMPUTED_VALUE"""),46113.0)</f>
        <v>46113</v>
      </c>
      <c r="B439" s="48"/>
      <c r="C439" s="48"/>
      <c r="D439" s="48"/>
      <c r="E439" s="53" t="str">
        <f>IFERROR(__xludf.DUMMYFUNCTION("""COMPUTED_VALUE"""),"Edição do vídeo “Fala Litoral”")</f>
        <v>Edição do vídeo “Fala Litoral”</v>
      </c>
    </row>
    <row r="440">
      <c r="A440" s="54">
        <f>IFERROR(__xludf.DUMMYFUNCTION("""COMPUTED_VALUE"""),46113.0)</f>
        <v>46113</v>
      </c>
      <c r="B440" s="48"/>
      <c r="C440" s="48"/>
      <c r="D440" s="48"/>
      <c r="E440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441">
      <c r="A441" s="54">
        <f>IFERROR(__xludf.DUMMYFUNCTION("""COMPUTED_VALUE"""),46113.0)</f>
        <v>46113</v>
      </c>
      <c r="B441" s="48"/>
      <c r="C441" s="48"/>
      <c r="D441" s="48"/>
      <c r="E441" s="53" t="str">
        <f>IFERROR(__xludf.DUMMYFUNCTION("""COMPUTED_VALUE"""),"Planejamento de programação das publicações das redes sociais do CBH Litoral para abril e maio")</f>
        <v>Planejamento de programação das publicações das redes sociais do CBH Litoral para abril e maio</v>
      </c>
    </row>
    <row r="442">
      <c r="A442" s="54">
        <f>IFERROR(__xludf.DUMMYFUNCTION("""COMPUTED_VALUE"""),46113.0)</f>
        <v>46113</v>
      </c>
      <c r="B442" s="48"/>
      <c r="C442" s="48"/>
      <c r="D442" s="48"/>
      <c r="E442" s="53" t="str">
        <f>IFERROR(__xludf.DUMMYFUNCTION("""COMPUTED_VALUE"""),"Atualização da planilha do indicador de Fiscalizações e Produção de relatórios de Vistoria em Usuários")</f>
        <v>Atualização da planilha do indicador de Fiscalizações e Produção de relatórios de Vistoria em Usuários</v>
      </c>
    </row>
    <row r="443">
      <c r="A443" s="54">
        <f>IFERROR(__xludf.DUMMYFUNCTION("""COMPUTED_VALUE"""),46113.0)</f>
        <v>46113</v>
      </c>
      <c r="B443" s="48"/>
      <c r="C443" s="48"/>
      <c r="D443" s="48"/>
      <c r="E443" s="53" t="str">
        <f>IFERROR(__xludf.DUMMYFUNCTION("""COMPUTED_VALUE"""),"Atividade Interna (Revisão dos Indicadores)")</f>
        <v>Atividade Interna (Revisão dos Indicadores)</v>
      </c>
    </row>
    <row r="444">
      <c r="A444" s="54">
        <f>IFERROR(__xludf.DUMMYFUNCTION("""COMPUTED_VALUE"""),46113.0)</f>
        <v>46113</v>
      </c>
      <c r="B444" s="48"/>
      <c r="C444" s="48"/>
      <c r="D444" s="48"/>
      <c r="E444" s="53" t="str">
        <f>IFERROR(__xludf.DUMMYFUNCTION("""COMPUTED_VALUE"""),"Orientação a defesa civil de sobral, referente a monitoramento de açudes")</f>
        <v>Orientação a defesa civil de sobral, referente a monitoramento de açudes</v>
      </c>
    </row>
    <row r="445">
      <c r="A445" s="54">
        <f>IFERROR(__xludf.DUMMYFUNCTION("""COMPUTED_VALUE"""),46113.0)</f>
        <v>46113</v>
      </c>
      <c r="B445" s="48"/>
      <c r="C445" s="48"/>
      <c r="D445" s="48"/>
      <c r="E445" s="53" t="str">
        <f>IFERROR(__xludf.DUMMYFUNCTION("""COMPUTED_VALUE"""),"Atualização dos dados de Captação e Perenização no SIGERH")</f>
        <v>Atualização dos dados de Captação e Perenização no SIGERH</v>
      </c>
    </row>
    <row r="446">
      <c r="A446" s="54">
        <f>IFERROR(__xludf.DUMMYFUNCTION("""COMPUTED_VALUE"""),46114.0)</f>
        <v>46114</v>
      </c>
      <c r="B446" s="48"/>
      <c r="C446" s="48"/>
      <c r="D446" s="48"/>
      <c r="E446" s="53" t="str">
        <f>IFERROR(__xludf.DUMMYFUNCTION("""COMPUTED_VALUE"""),"PONTO FACULTATIVO")</f>
        <v>PONTO FACULTATIVO</v>
      </c>
    </row>
    <row r="447">
      <c r="A447" s="54">
        <f>IFERROR(__xludf.DUMMYFUNCTION("""COMPUTED_VALUE"""),46115.0)</f>
        <v>46115</v>
      </c>
      <c r="B447" s="48"/>
      <c r="C447" s="48"/>
      <c r="D447" s="48"/>
      <c r="E447" s="53" t="str">
        <f>IFERROR(__xludf.DUMMYFUNCTION("""COMPUTED_VALUE"""),"SEXTA-FEIRA SANTA")</f>
        <v>SEXTA-FEIRA SANTA</v>
      </c>
    </row>
    <row r="448">
      <c r="A448" s="54">
        <f>IFERROR(__xludf.DUMMYFUNCTION("""COMPUTED_VALUE"""),46116.0)</f>
        <v>46116</v>
      </c>
      <c r="B448" s="48"/>
      <c r="C448" s="48"/>
      <c r="D448" s="48"/>
      <c r="E448" s="48"/>
    </row>
    <row r="449">
      <c r="A449" s="54">
        <f>IFERROR(__xludf.DUMMYFUNCTION("""COMPUTED_VALUE"""),46117.0)</f>
        <v>46117</v>
      </c>
      <c r="B449" s="48"/>
      <c r="C449" s="48"/>
      <c r="D449" s="48"/>
      <c r="E449" s="48"/>
    </row>
    <row r="450">
      <c r="A450" s="54">
        <f>IFERROR(__xludf.DUMMYFUNCTION("""COMPUTED_VALUE"""),46118.0)</f>
        <v>46118</v>
      </c>
      <c r="B450" s="48"/>
      <c r="C450" s="48"/>
      <c r="D450" s="48"/>
      <c r="E450" s="53" t="str">
        <f>IFERROR(__xludf.DUMMYFUNCTION("""COMPUTED_VALUE"""),"Publicar story do aniversário do Sr. Francisco Leanderson Morais Silveira EMATERCE – Acaraú ")</f>
        <v>Publicar story do aniversário do Sr. Francisco Leanderson Morais Silveira EMATERCE – Acaraú </v>
      </c>
    </row>
    <row r="451">
      <c r="A451" s="54">
        <f>IFERROR(__xludf.DUMMYFUNCTION("""COMPUTED_VALUE"""),46118.0)</f>
        <v>46118</v>
      </c>
      <c r="B451" s="48"/>
      <c r="C451" s="48"/>
      <c r="D451" s="48"/>
      <c r="E451" s="53" t="str">
        <f>IFERROR(__xludf.DUMMYFUNCTION("""COMPUTED_VALUE"""),"Curso da CIPA")</f>
        <v>Curso da CIPA</v>
      </c>
    </row>
    <row r="452">
      <c r="A452" s="54">
        <f>IFERROR(__xludf.DUMMYFUNCTION("""COMPUTED_VALUE"""),46118.0)</f>
        <v>46118</v>
      </c>
      <c r="B452" s="48"/>
      <c r="C452" s="48"/>
      <c r="D452" s="48"/>
      <c r="E452" s="53" t="str">
        <f>IFERROR(__xludf.DUMMYFUNCTION("""COMPUTED_VALUE"""),"Edição de vídeo sobre o Dia Nacional de Conservação do Solo")</f>
        <v>Edição de vídeo sobre o Dia Nacional de Conservação do Solo</v>
      </c>
    </row>
    <row r="453">
      <c r="A453" s="54">
        <f>IFERROR(__xludf.DUMMYFUNCTION("""COMPUTED_VALUE"""),46118.0)</f>
        <v>46118</v>
      </c>
      <c r="B453" s="48"/>
      <c r="C453" s="48"/>
      <c r="D453" s="48"/>
      <c r="E453" s="53" t="str">
        <f>IFERROR(__xludf.DUMMYFUNCTION("""COMPUTED_VALUE"""),"Edição de vídeo sobre o Dia Nacional da Luta dos Povos Indígenas")</f>
        <v>Edição de vídeo sobre o Dia Nacional da Luta dos Povos Indígenas</v>
      </c>
    </row>
    <row r="454">
      <c r="A454" s="54">
        <f>IFERROR(__xludf.DUMMYFUNCTION("""COMPUTED_VALUE"""),46118.0)</f>
        <v>46118</v>
      </c>
      <c r="B454" s="48"/>
      <c r="C454" s="48"/>
      <c r="D454" s="48"/>
      <c r="E454" s="53" t="str">
        <f>IFERROR(__xludf.DUMMYFUNCTION("""COMPUTED_VALUE"""),"Organização de documentos internos")</f>
        <v>Organização de documentos internos</v>
      </c>
    </row>
    <row r="455">
      <c r="A455" s="54">
        <f>IFERROR(__xludf.DUMMYFUNCTION("""COMPUTED_VALUE"""),46118.0)</f>
        <v>46118</v>
      </c>
      <c r="B455" s="48"/>
      <c r="C455" s="48"/>
      <c r="D455" s="48"/>
      <c r="E455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456">
      <c r="A456" s="54">
        <f>IFERROR(__xludf.DUMMYFUNCTION("""COMPUTED_VALUE"""),46118.0)</f>
        <v>46118</v>
      </c>
      <c r="B456" s="48"/>
      <c r="C456" s="48"/>
      <c r="D456" s="48"/>
      <c r="E456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457">
      <c r="A457" s="54">
        <f>IFERROR(__xludf.DUMMYFUNCTION("""COMPUTED_VALUE"""),46118.0)</f>
        <v>46118</v>
      </c>
      <c r="B457" s="48"/>
      <c r="C457" s="48"/>
      <c r="D457" s="48"/>
      <c r="E457" s="53" t="str">
        <f>IFERROR(__xludf.DUMMYFUNCTION("""COMPUTED_VALUE"""),"Gravação no açude Quandu")</f>
        <v>Gravação no açude Quandu</v>
      </c>
    </row>
    <row r="458">
      <c r="A458" s="54">
        <f>IFERROR(__xludf.DUMMYFUNCTION("""COMPUTED_VALUE"""),46119.0)</f>
        <v>46119</v>
      </c>
      <c r="B458" s="48"/>
      <c r="C458" s="48"/>
      <c r="D458" s="48"/>
      <c r="E458" s="53" t="str">
        <f>IFERROR(__xludf.DUMMYFUNCTION("""COMPUTED_VALUE"""),"Curso da CIPA")</f>
        <v>Curso da CIPA</v>
      </c>
    </row>
    <row r="459">
      <c r="A459" s="54">
        <f>IFERROR(__xludf.DUMMYFUNCTION("""COMPUTED_VALUE"""),46119.0)</f>
        <v>46119</v>
      </c>
      <c r="B459" s="48"/>
      <c r="C459" s="48"/>
      <c r="D459" s="48"/>
      <c r="E459" s="53" t="str">
        <f>IFERROR(__xludf.DUMMYFUNCTION("""COMPUTED_VALUE"""),"Produção de matéria sobre a 2ª Reunião Ordinária do FCCBH")</f>
        <v>Produção de matéria sobre a 2ª Reunião Ordinária do FCCBH</v>
      </c>
    </row>
    <row r="460">
      <c r="A460" s="54">
        <f>IFERROR(__xludf.DUMMYFUNCTION("""COMPUTED_VALUE"""),46119.0)</f>
        <v>46119</v>
      </c>
      <c r="B460" s="48"/>
      <c r="C460" s="48"/>
      <c r="D460" s="48"/>
      <c r="E460" s="53" t="str">
        <f>IFERROR(__xludf.DUMMYFUNCTION("""COMPUTED_VALUE"""),"Edição de vídeo sobre o Dia da Caatinga")</f>
        <v>Edição de vídeo sobre o Dia da Caatinga</v>
      </c>
    </row>
    <row r="461">
      <c r="A461" s="54">
        <f>IFERROR(__xludf.DUMMYFUNCTION("""COMPUTED_VALUE"""),46119.0)</f>
        <v>46119</v>
      </c>
      <c r="B461" s="48"/>
      <c r="C461" s="48"/>
      <c r="D461" s="48"/>
      <c r="E461" s="53" t="str">
        <f>IFERROR(__xludf.DUMMYFUNCTION("""COMPUTED_VALUE"""),"Organização de documentos internos")</f>
        <v>Organização de documentos internos</v>
      </c>
    </row>
    <row r="462">
      <c r="A462" s="54">
        <f>IFERROR(__xludf.DUMMYFUNCTION("""COMPUTED_VALUE"""),46119.0)</f>
        <v>46119</v>
      </c>
      <c r="B462" s="48"/>
      <c r="C462" s="48"/>
      <c r="D462" s="48"/>
      <c r="E462" s="53" t="str">
        <f>IFERROR(__xludf.DUMMYFUNCTION("""COMPUTED_VALUE"""),"Produção de apresentação do FCCBH")</f>
        <v>Produção de apresentação do FCCBH</v>
      </c>
    </row>
    <row r="463">
      <c r="A463" s="54">
        <f>IFERROR(__xludf.DUMMYFUNCTION("""COMPUTED_VALUE"""),46119.0)</f>
        <v>46119</v>
      </c>
      <c r="B463" s="48"/>
      <c r="C463" s="48"/>
      <c r="D463" s="48"/>
      <c r="E463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464">
      <c r="A464" s="54">
        <f>IFERROR(__xludf.DUMMYFUNCTION("""COMPUTED_VALUE"""),46120.0)</f>
        <v>46120</v>
      </c>
      <c r="B464" s="48"/>
      <c r="C464" s="48"/>
      <c r="D464" s="48"/>
      <c r="E464" s="53" t="str">
        <f>IFERROR(__xludf.DUMMYFUNCTION("""COMPUTED_VALUE"""),"Curso da CIPA")</f>
        <v>Curso da CIPA</v>
      </c>
    </row>
    <row r="465">
      <c r="A465" s="54">
        <f>IFERROR(__xludf.DUMMYFUNCTION("""COMPUTED_VALUE"""),46120.0)</f>
        <v>46120</v>
      </c>
      <c r="B465" s="48"/>
      <c r="C465" s="48"/>
      <c r="D465" s="48"/>
      <c r="E465" s="53" t="str">
        <f>IFERROR(__xludf.DUMMYFUNCTION("""COMPUTED_VALUE"""),"Ida à Santana do Acaraú conversar com os membros do STRAAF")</f>
        <v>Ida à Santana do Acaraú conversar com os membros do STRAAF</v>
      </c>
    </row>
    <row r="466">
      <c r="A466" s="54">
        <f>IFERROR(__xludf.DUMMYFUNCTION("""COMPUTED_VALUE"""),46120.0)</f>
        <v>46120</v>
      </c>
      <c r="B466" s="48"/>
      <c r="C466" s="48"/>
      <c r="D466" s="48"/>
      <c r="E466" s="53" t="str">
        <f>IFERROR(__xludf.DUMMYFUNCTION("""COMPUTED_VALUE"""),"Gravação com Erandir Martins sobre o Dia Nacional do Livro Infantil")</f>
        <v>Gravação com Erandir Martins sobre o Dia Nacional do Livro Infantil</v>
      </c>
    </row>
    <row r="467">
      <c r="A467" s="54">
        <f>IFERROR(__xludf.DUMMYFUNCTION("""COMPUTED_VALUE"""),46120.0)</f>
        <v>46120</v>
      </c>
      <c r="B467" s="48"/>
      <c r="C467" s="48"/>
      <c r="D467" s="48"/>
      <c r="E467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468">
      <c r="A468" s="54">
        <f>IFERROR(__xludf.DUMMYFUNCTION("""COMPUTED_VALUE"""),46121.0)</f>
        <v>46121</v>
      </c>
      <c r="B468" s="48"/>
      <c r="C468" s="48"/>
      <c r="D468" s="48"/>
      <c r="E468" s="53" t="str">
        <f>IFERROR(__xludf.DUMMYFUNCTION("""COMPUTED_VALUE"""),"Capacitação sobre ""Outorga e Fiscalização""")</f>
        <v>Capacitação sobre "Outorga e Fiscalização"</v>
      </c>
    </row>
    <row r="469">
      <c r="A469" s="54">
        <f>IFERROR(__xludf.DUMMYFUNCTION("""COMPUTED_VALUE"""),46121.0)</f>
        <v>46121</v>
      </c>
      <c r="B469" s="48"/>
      <c r="C469" s="48"/>
      <c r="D469" s="48"/>
      <c r="E469" s="53" t="str">
        <f>IFERROR(__xludf.DUMMYFUNCTION("""COMPUTED_VALUE"""),"Publicação de vídeo “Fala Litoral”")</f>
        <v>Publicação de vídeo “Fala Litoral”</v>
      </c>
    </row>
    <row r="470">
      <c r="A470" s="54">
        <f>IFERROR(__xludf.DUMMYFUNCTION("""COMPUTED_VALUE"""),46121.0)</f>
        <v>46121</v>
      </c>
      <c r="B470" s="48"/>
      <c r="C470" s="48"/>
      <c r="D470" s="48"/>
      <c r="E470" s="53" t="str">
        <f>IFERROR(__xludf.DUMMYFUNCTION("""COMPUTED_VALUE"""),"Edição de vídeo sobre o Dia Nacional do Livro Infantil")</f>
        <v>Edição de vídeo sobre o Dia Nacional do Livro Infantil</v>
      </c>
    </row>
    <row r="471">
      <c r="A471" s="54">
        <f>IFERROR(__xludf.DUMMYFUNCTION("""COMPUTED_VALUE"""),46121.0)</f>
        <v>46121</v>
      </c>
      <c r="B471" s="48"/>
      <c r="C471" s="48"/>
      <c r="D471" s="48"/>
      <c r="E471" s="53" t="str">
        <f>IFERROR(__xludf.DUMMYFUNCTION("""COMPUTED_VALUE"""),"Providenciar peças de divulgação sobre os 20 anos do CBH Litoral")</f>
        <v>Providenciar peças de divulgação sobre os 20 anos do CBH Litoral</v>
      </c>
    </row>
    <row r="472">
      <c r="A472" s="54">
        <f>IFERROR(__xludf.DUMMYFUNCTION("""COMPUTED_VALUE"""),46121.0)</f>
        <v>46121</v>
      </c>
      <c r="B472" s="48"/>
      <c r="C472" s="48"/>
      <c r="D472" s="48"/>
      <c r="E472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473">
      <c r="A473" s="54">
        <f>IFERROR(__xludf.DUMMYFUNCTION("""COMPUTED_VALUE"""),46122.0)</f>
        <v>46122</v>
      </c>
      <c r="B473" s="48"/>
      <c r="C473" s="48"/>
      <c r="D473" s="48"/>
      <c r="E473" s="53" t="str">
        <f>IFERROR(__xludf.DUMMYFUNCTION("""COMPUTED_VALUE"""),"Capacitação sobre ""Outorga e Fiscalização""")</f>
        <v>Capacitação sobre "Outorga e Fiscalização"</v>
      </c>
    </row>
    <row r="474">
      <c r="A474" s="54">
        <f>IFERROR(__xludf.DUMMYFUNCTION("""COMPUTED_VALUE"""),46122.0)</f>
        <v>46122</v>
      </c>
      <c r="B474" s="48"/>
      <c r="C474" s="48"/>
      <c r="D474" s="48"/>
      <c r="E474" s="53" t="str">
        <f>IFERROR(__xludf.DUMMYFUNCTION("""COMPUTED_VALUE"""),"Ida à Brotas dar apoio ao Sales em evento municipal")</f>
        <v>Ida à Brotas dar apoio ao Sales em evento municipal</v>
      </c>
    </row>
    <row r="475">
      <c r="A475" s="54">
        <f>IFERROR(__xludf.DUMMYFUNCTION("""COMPUTED_VALUE"""),46122.0)</f>
        <v>46122</v>
      </c>
      <c r="B475" s="48"/>
      <c r="C475" s="48"/>
      <c r="D475" s="48"/>
      <c r="E475" s="53" t="str">
        <f>IFERROR(__xludf.DUMMYFUNCTION("""COMPUTED_VALUE"""),"Atualização da planilha da Gerência Regional e Gestão Participativa com atividades programadas da semana")</f>
        <v>Atualização da planilha da Gerência Regional e Gestão Participativa com atividades programadas da semana</v>
      </c>
    </row>
    <row r="476">
      <c r="A476" s="54">
        <f>IFERROR(__xludf.DUMMYFUNCTION("""COMPUTED_VALUE"""),46122.0)</f>
        <v>46122</v>
      </c>
      <c r="B476" s="48"/>
      <c r="C476" s="48"/>
      <c r="D476" s="48"/>
      <c r="E476" s="53" t="str">
        <f>IFERROR(__xludf.DUMMYFUNCTION("""COMPUTED_VALUE"""),"Faturamento (Atualizar dados do faturamento no sistema)")</f>
        <v>Faturamento (Atualizar dados do faturamento no sistema)</v>
      </c>
    </row>
    <row r="477">
      <c r="A477" s="54">
        <f>IFERROR(__xludf.DUMMYFUNCTION("""COMPUTED_VALUE"""),46122.0)</f>
        <v>46122</v>
      </c>
      <c r="B477" s="48"/>
      <c r="C477" s="48"/>
      <c r="D477" s="48"/>
      <c r="E477" s="53" t="str">
        <f>IFERROR(__xludf.DUMMYFUNCTION("""COMPUTED_VALUE"""),"Produção do relatório do Indicador de Instalação e Manutenção de Medidores")</f>
        <v>Produção do relatório do Indicador de Instalação e Manutenção de Medidores</v>
      </c>
    </row>
    <row r="478">
      <c r="A478" s="54">
        <f>IFERROR(__xludf.DUMMYFUNCTION("""COMPUTED_VALUE"""),46122.0)</f>
        <v>46122</v>
      </c>
      <c r="B478" s="48"/>
      <c r="C478" s="48"/>
      <c r="D478" s="48"/>
      <c r="E478" s="53" t="str">
        <f>IFERROR(__xludf.DUMMYFUNCTION("""COMPUTED_VALUE"""),"Atualização dos dados de Captação e Perenização no SIGERH")</f>
        <v>Atualização dos dados de Captação e Perenização no SIGERH</v>
      </c>
    </row>
    <row r="479">
      <c r="A479" s="54">
        <f>IFERROR(__xludf.DUMMYFUNCTION("""COMPUTED_VALUE"""),46122.0)</f>
        <v>46122</v>
      </c>
      <c r="B479" s="48"/>
      <c r="C479" s="48"/>
      <c r="D479" s="48"/>
      <c r="E479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480">
      <c r="A480" s="54">
        <f>IFERROR(__xludf.DUMMYFUNCTION("""COMPUTED_VALUE"""),46123.0)</f>
        <v>46123</v>
      </c>
      <c r="B480" s="48"/>
      <c r="C480" s="48"/>
      <c r="D480" s="48"/>
      <c r="E480" s="48"/>
    </row>
    <row r="481">
      <c r="A481" s="54">
        <f>IFERROR(__xludf.DUMMYFUNCTION("""COMPUTED_VALUE"""),46124.0)</f>
        <v>46124</v>
      </c>
      <c r="B481" s="48"/>
      <c r="C481" s="48"/>
      <c r="D481" s="48"/>
      <c r="E481" s="48"/>
    </row>
    <row r="482">
      <c r="A482" s="54">
        <f>IFERROR(__xludf.DUMMYFUNCTION("""COMPUTED_VALUE"""),46125.0)</f>
        <v>46125</v>
      </c>
      <c r="B482" s="48"/>
      <c r="C482" s="48"/>
      <c r="D482" s="48"/>
      <c r="E482" s="53" t="str">
        <f>IFERROR(__xludf.DUMMYFUNCTION("""COMPUTED_VALUE"""),"3ª Reunião da Diretoria do CBH Litoral")</f>
        <v>3ª Reunião da Diretoria do CBH Litoral</v>
      </c>
    </row>
    <row r="483">
      <c r="A483" s="54">
        <f>IFERROR(__xludf.DUMMYFUNCTION("""COMPUTED_VALUE"""),46125.0)</f>
        <v>46125</v>
      </c>
      <c r="B483" s="48"/>
      <c r="C483" s="48"/>
      <c r="D483" s="48"/>
      <c r="E483" s="53" t="str">
        <f>IFERROR(__xludf.DUMMYFUNCTION("""COMPUTED_VALUE"""),"Publicação de matéria da 3ª Reunião da Diretoria ")</f>
        <v>Publicação de matéria da 3ª Reunião da Diretoria </v>
      </c>
    </row>
    <row r="484">
      <c r="A484" s="54">
        <f>IFERROR(__xludf.DUMMYFUNCTION("""COMPUTED_VALUE"""),46125.0)</f>
        <v>46125</v>
      </c>
      <c r="B484" s="48"/>
      <c r="C484" s="48"/>
      <c r="D484" s="48"/>
      <c r="E484" s="53" t="str">
        <f>IFERROR(__xludf.DUMMYFUNCTION("""COMPUTED_VALUE"""),"Produção de ata sobre a 3ª Reunião da Diretoria")</f>
        <v>Produção de ata sobre a 3ª Reunião da Diretoria</v>
      </c>
    </row>
    <row r="485">
      <c r="A485" s="54">
        <f>IFERROR(__xludf.DUMMYFUNCTION("""COMPUTED_VALUE"""),46125.0)</f>
        <v>46125</v>
      </c>
      <c r="B485" s="48"/>
      <c r="C485" s="48"/>
      <c r="D485" s="48"/>
      <c r="E485" s="53" t="str">
        <f>IFERROR(__xludf.DUMMYFUNCTION("""COMPUTED_VALUE"""),"Gravação com a Diretoria sobre o aniversário do CBH Litoral")</f>
        <v>Gravação com a Diretoria sobre o aniversário do CBH Litoral</v>
      </c>
    </row>
    <row r="486">
      <c r="A486" s="54">
        <f>IFERROR(__xludf.DUMMYFUNCTION("""COMPUTED_VALUE"""),46125.0)</f>
        <v>46125</v>
      </c>
      <c r="B486" s="48"/>
      <c r="C486" s="48"/>
      <c r="D486" s="48"/>
      <c r="E486" s="53" t="str">
        <f>IFERROR(__xludf.DUMMYFUNCTION("""COMPUTED_VALUE"""),"Providenciar declaração de participação do Sales na 3ª Reunião da Diretoria do CBH Litoral")</f>
        <v>Providenciar declaração de participação do Sales na 3ª Reunião da Diretoria do CBH Litoral</v>
      </c>
    </row>
    <row r="487">
      <c r="A487" s="54">
        <f>IFERROR(__xludf.DUMMYFUNCTION("""COMPUTED_VALUE"""),46125.0)</f>
        <v>46125</v>
      </c>
      <c r="B487" s="48"/>
      <c r="C487" s="48"/>
      <c r="D487" s="48"/>
      <c r="E487" s="53" t="str">
        <f>IFERROR(__xludf.DUMMYFUNCTION("""COMPUTED_VALUE"""),"Mobilização para o aniversário de 20 anos do CBH Litoral")</f>
        <v>Mobilização para o aniversário de 20 anos do CBH Litoral</v>
      </c>
    </row>
    <row r="488">
      <c r="A488" s="54">
        <f>IFERROR(__xludf.DUMMYFUNCTION("""COMPUTED_VALUE"""),46125.0)</f>
        <v>46125</v>
      </c>
      <c r="B488" s="48"/>
      <c r="C488" s="48"/>
      <c r="D488" s="48"/>
      <c r="E488" s="53" t="str">
        <f>IFERROR(__xludf.DUMMYFUNCTION("""COMPUTED_VALUE"""),"Gravação com secretária de educação, Célia sobre o Dia Nacional do Livro Infantil")</f>
        <v>Gravação com secretária de educação, Célia sobre o Dia Nacional do Livro Infantil</v>
      </c>
    </row>
    <row r="489">
      <c r="A489" s="54">
        <f>IFERROR(__xludf.DUMMYFUNCTION("""COMPUTED_VALUE"""),46125.0)</f>
        <v>46125</v>
      </c>
      <c r="B489" s="48"/>
      <c r="C489" s="48"/>
      <c r="D489" s="48"/>
      <c r="E489" s="53" t="str">
        <f>IFERROR(__xludf.DUMMYFUNCTION("""COMPUTED_VALUE"""),"Confirmações para a 1ª Oficina do Plano de Secas do açude Poço Verde")</f>
        <v>Confirmações para a 1ª Oficina do Plano de Secas do açude Poço Verde</v>
      </c>
    </row>
    <row r="490">
      <c r="A490" s="54">
        <f>IFERROR(__xludf.DUMMYFUNCTION("""COMPUTED_VALUE"""),46125.0)</f>
        <v>46125</v>
      </c>
      <c r="B490" s="48"/>
      <c r="C490" s="48"/>
      <c r="D490" s="48"/>
      <c r="E490" s="53" t="str">
        <f>IFERROR(__xludf.DUMMYFUNCTION("""COMPUTED_VALUE"""),"Criação das peças do aniversário do CBH Litoral (Carrosel, programação, faltam dez dias, é amanhã e vem aí)")</f>
        <v>Criação das peças do aniversário do CBH Litoral (Carrosel, programação, faltam dez dias, é amanhã e vem aí)</v>
      </c>
    </row>
    <row r="491">
      <c r="A491" s="54">
        <f>IFERROR(__xludf.DUMMYFUNCTION("""COMPUTED_VALUE"""),46125.0)</f>
        <v>46125</v>
      </c>
      <c r="B491" s="48"/>
      <c r="C491" s="48"/>
      <c r="D491" s="48"/>
      <c r="E491" s="53" t="str">
        <f>IFERROR(__xludf.DUMMYFUNCTION("""COMPUTED_VALUE"""),"Apoio logístico para a 2ª Reunião Ordinária do FCCBH")</f>
        <v>Apoio logístico para a 2ª Reunião Ordinária do FCCBH</v>
      </c>
    </row>
    <row r="492">
      <c r="A492" s="54">
        <f>IFERROR(__xludf.DUMMYFUNCTION("""COMPUTED_VALUE"""),46125.0)</f>
        <v>46125</v>
      </c>
      <c r="B492" s="48"/>
      <c r="C492" s="48"/>
      <c r="D492" s="48"/>
      <c r="E492" s="53" t="str">
        <f>IFERROR(__xludf.DUMMYFUNCTION("""COMPUTED_VALUE"""),"Calibração da Sonda para as Coletas")</f>
        <v>Calibração da Sonda para as Coletas</v>
      </c>
    </row>
    <row r="493">
      <c r="A493" s="54">
        <f>IFERROR(__xludf.DUMMYFUNCTION("""COMPUTED_VALUE"""),46125.0)</f>
        <v>46125</v>
      </c>
      <c r="B493" s="48"/>
      <c r="C493" s="48"/>
      <c r="D493" s="48"/>
      <c r="E493" s="53" t="str">
        <f>IFERROR(__xludf.DUMMYFUNCTION("""COMPUTED_VALUE"""),"Instalação de Horímetro em usuários de água")</f>
        <v>Instalação de Horímetro em usuários de água</v>
      </c>
    </row>
    <row r="494">
      <c r="A494" s="54">
        <f>IFERROR(__xludf.DUMMYFUNCTION("""COMPUTED_VALUE"""),46126.0)</f>
        <v>46126</v>
      </c>
      <c r="B494" s="48"/>
      <c r="C494" s="48"/>
      <c r="D494" s="48"/>
      <c r="E494" s="53" t="str">
        <f>IFERROR(__xludf.DUMMYFUNCTION("""COMPUTED_VALUE"""),"2ª Reunião Ordinária do FCCBH")</f>
        <v>2ª Reunião Ordinária do FCCBH</v>
      </c>
    </row>
    <row r="495">
      <c r="A495" s="54">
        <f>IFERROR(__xludf.DUMMYFUNCTION("""COMPUTED_VALUE"""),46126.0)</f>
        <v>46126</v>
      </c>
      <c r="B495" s="48"/>
      <c r="C495" s="48"/>
      <c r="D495" s="48"/>
      <c r="E495" s="53" t="str">
        <f>IFERROR(__xludf.DUMMYFUNCTION("""COMPUTED_VALUE"""),"Cobertura da 2ª Reunião Ordinária do FCCBH ")</f>
        <v>Cobertura da 2ª Reunião Ordinária do FCCBH </v>
      </c>
    </row>
    <row r="496">
      <c r="A496" s="54">
        <f>IFERROR(__xludf.DUMMYFUNCTION("""COMPUTED_VALUE"""),46126.0)</f>
        <v>46126</v>
      </c>
      <c r="B496" s="48"/>
      <c r="C496" s="48"/>
      <c r="D496" s="48"/>
      <c r="E496" s="53" t="str">
        <f>IFERROR(__xludf.DUMMYFUNCTION("""COMPUTED_VALUE"""),"Criação das peças do aniversário do CBH Litoral (Carrosel, programação, faltam dez dias, é amanhã e vem aí)")</f>
        <v>Criação das peças do aniversário do CBH Litoral (Carrosel, programação, faltam dez dias, é amanhã e vem aí)</v>
      </c>
    </row>
    <row r="497">
      <c r="A497" s="54">
        <f>IFERROR(__xludf.DUMMYFUNCTION("""COMPUTED_VALUE"""),46126.0)</f>
        <v>46126</v>
      </c>
      <c r="B497" s="48"/>
      <c r="C497" s="48"/>
      <c r="D497" s="48"/>
      <c r="E497" s="53" t="str">
        <f>IFERROR(__xludf.DUMMYFUNCTION("""COMPUTED_VALUE"""),"Inserir dados das variações de consumo na planilha")</f>
        <v>Inserir dados das variações de consumo na planilha</v>
      </c>
    </row>
    <row r="498">
      <c r="A498" s="54">
        <f>IFERROR(__xludf.DUMMYFUNCTION("""COMPUTED_VALUE"""),46126.0)</f>
        <v>46126</v>
      </c>
      <c r="B498" s="48"/>
      <c r="C498" s="48"/>
      <c r="D498" s="48"/>
      <c r="E498" s="53" t="str">
        <f>IFERROR(__xludf.DUMMYFUNCTION("""COMPUTED_VALUE"""),"Coleta para Análise Qualitativa da Água (Gameleira e Poço Verde)")</f>
        <v>Coleta para Análise Qualitativa da Água (Gameleira e Poço Verde)</v>
      </c>
    </row>
    <row r="499">
      <c r="A499" s="54">
        <f>IFERROR(__xludf.DUMMYFUNCTION("""COMPUTED_VALUE"""),46127.0)</f>
        <v>46127</v>
      </c>
      <c r="B499" s="48"/>
      <c r="C499" s="48"/>
      <c r="D499" s="48"/>
      <c r="E499" s="53" t="str">
        <f>IFERROR(__xludf.DUMMYFUNCTION("""COMPUTED_VALUE"""),"Gravação com Carol Oliveira sobre o Dia Mundial da Reciclagem")</f>
        <v>Gravação com Carol Oliveira sobre o Dia Mundial da Reciclagem</v>
      </c>
    </row>
    <row r="500">
      <c r="A500" s="54">
        <f>IFERROR(__xludf.DUMMYFUNCTION("""COMPUTED_VALUE"""),46127.0)</f>
        <v>46127</v>
      </c>
      <c r="B500" s="48"/>
      <c r="C500" s="48"/>
      <c r="D500" s="48"/>
      <c r="E500" s="53" t="str">
        <f>IFERROR(__xludf.DUMMYFUNCTION("""COMPUTED_VALUE"""),"2ª Reunião Ordinária do FCCBH")</f>
        <v>2ª Reunião Ordinária do FCCBH</v>
      </c>
    </row>
    <row r="501">
      <c r="A501" s="54">
        <f>IFERROR(__xludf.DUMMYFUNCTION("""COMPUTED_VALUE"""),46127.0)</f>
        <v>46127</v>
      </c>
      <c r="B501" s="48"/>
      <c r="C501" s="48"/>
      <c r="D501" s="48"/>
      <c r="E501" s="53" t="str">
        <f>IFERROR(__xludf.DUMMYFUNCTION("""COMPUTED_VALUE"""),"Cobertura da 2ª Reunião Ordinária do FCCBH")</f>
        <v>Cobertura da 2ª Reunião Ordinária do FCCBH</v>
      </c>
    </row>
    <row r="502">
      <c r="A502" s="54">
        <f>IFERROR(__xludf.DUMMYFUNCTION("""COMPUTED_VALUE"""),46127.0)</f>
        <v>46127</v>
      </c>
      <c r="B502" s="48"/>
      <c r="C502" s="48"/>
      <c r="D502" s="48"/>
      <c r="E502" s="53" t="str">
        <f>IFERROR(__xludf.DUMMYFUNCTION("""COMPUTED_VALUE"""),"Publicação de reels sobre o Dia Nacional de Conservação do Solo")</f>
        <v>Publicação de reels sobre o Dia Nacional de Conservação do Solo</v>
      </c>
    </row>
    <row r="503">
      <c r="A503" s="54">
        <f>IFERROR(__xludf.DUMMYFUNCTION("""COMPUTED_VALUE"""),46127.0)</f>
        <v>46127</v>
      </c>
      <c r="B503" s="48"/>
      <c r="C503" s="48"/>
      <c r="D503" s="48"/>
      <c r="E503" s="53" t="str">
        <f>IFERROR(__xludf.DUMMYFUNCTION("""COMPUTED_VALUE"""),"Criação das peças do aniversário do CBH Litoral (Carrosel, programação, faltam dez dias, é amanhã e vem aí)")</f>
        <v>Criação das peças do aniversário do CBH Litoral (Carrosel, programação, faltam dez dias, é amanhã e vem aí)</v>
      </c>
    </row>
    <row r="504">
      <c r="A504" s="54">
        <f>IFERROR(__xludf.DUMMYFUNCTION("""COMPUTED_VALUE"""),46127.0)</f>
        <v>46127</v>
      </c>
      <c r="B504" s="48"/>
      <c r="C504" s="48"/>
      <c r="D504" s="48"/>
      <c r="E504" s="53" t="str">
        <f>IFERROR(__xludf.DUMMYFUNCTION("""COMPUTED_VALUE"""),"Instrumentação do açude Missi (Piezômetros)")</f>
        <v>Instrumentação do açude Missi (Piezômetros)</v>
      </c>
    </row>
    <row r="505">
      <c r="A505" s="54">
        <f>IFERROR(__xludf.DUMMYFUNCTION("""COMPUTED_VALUE"""),46127.0)</f>
        <v>46127</v>
      </c>
      <c r="B505" s="48"/>
      <c r="C505" s="48"/>
      <c r="D505" s="48"/>
      <c r="E505" s="53" t="str">
        <f>IFERROR(__xludf.DUMMYFUNCTION("""COMPUTED_VALUE"""),"Coleta para Análise Qualitativa da Água (Mundaú e Quandu)")</f>
        <v>Coleta para Análise Qualitativa da Água (Mundaú e Quandu)</v>
      </c>
    </row>
    <row r="506">
      <c r="A506" s="54">
        <f>IFERROR(__xludf.DUMMYFUNCTION("""COMPUTED_VALUE"""),46128.0)</f>
        <v>46128</v>
      </c>
      <c r="B506" s="48"/>
      <c r="C506" s="48"/>
      <c r="D506" s="48"/>
      <c r="E506" s="53" t="str">
        <f>IFERROR(__xludf.DUMMYFUNCTION("""COMPUTED_VALUE"""),"1ª Oficina do Plano de Secas do açude Poço Verde")</f>
        <v>1ª Oficina do Plano de Secas do açude Poço Verde</v>
      </c>
    </row>
    <row r="507">
      <c r="A507" s="54">
        <f>IFERROR(__xludf.DUMMYFUNCTION("""COMPUTED_VALUE"""),46128.0)</f>
        <v>46128</v>
      </c>
      <c r="B507" s="48"/>
      <c r="C507" s="48"/>
      <c r="D507" s="48"/>
      <c r="E507" s="53" t="str">
        <f>IFERROR(__xludf.DUMMYFUNCTION("""COMPUTED_VALUE"""),"Relatório de parecer técnico")</f>
        <v>Relatório de parecer técnico</v>
      </c>
    </row>
    <row r="508">
      <c r="A508" s="54">
        <f>IFERROR(__xludf.DUMMYFUNCTION("""COMPUTED_VALUE"""),46128.0)</f>
        <v>46128</v>
      </c>
      <c r="B508" s="48"/>
      <c r="C508" s="48"/>
      <c r="D508" s="48"/>
      <c r="E508" s="53" t="str">
        <f>IFERROR(__xludf.DUMMYFUNCTION("""COMPUTED_VALUE"""),"Relatório da reunião")</f>
        <v>Relatório da reunião</v>
      </c>
    </row>
    <row r="509">
      <c r="A509" s="54">
        <f>IFERROR(__xludf.DUMMYFUNCTION("""COMPUTED_VALUE"""),46128.0)</f>
        <v>46128</v>
      </c>
      <c r="B509" s="48"/>
      <c r="C509" s="48"/>
      <c r="D509" s="48"/>
      <c r="E509" s="53" t="str">
        <f>IFERROR(__xludf.DUMMYFUNCTION("""COMPUTED_VALUE"""),"IDA AO TREINAMENTO OPERAÇÃO SEGURA COM MOTOSSERRA ")</f>
        <v>IDA AO TREINAMENTO OPERAÇÃO SEGURA COM MOTOSSERRA </v>
      </c>
    </row>
    <row r="510">
      <c r="A510" s="54">
        <f>IFERROR(__xludf.DUMMYFUNCTION("""COMPUTED_VALUE"""),46129.0)</f>
        <v>46129</v>
      </c>
      <c r="B510" s="48"/>
      <c r="C510" s="48"/>
      <c r="D510" s="48"/>
      <c r="E510" s="53" t="str">
        <f>IFERROR(__xludf.DUMMYFUNCTION("""COMPUTED_VALUE"""),"Providenciar atividades programadas para o mês de maio")</f>
        <v>Providenciar atividades programadas para o mês de maio</v>
      </c>
    </row>
    <row r="511">
      <c r="A511" s="54">
        <f>IFERROR(__xludf.DUMMYFUNCTION("""COMPUTED_VALUE"""),46129.0)</f>
        <v>46129</v>
      </c>
      <c r="B511" s="48"/>
      <c r="C511" s="48"/>
      <c r="D511" s="48"/>
      <c r="E511" s="53" t="str">
        <f>IFERROR(__xludf.DUMMYFUNCTION("""COMPUTED_VALUE"""),"Edição de vídeo do Sales alusivo ao aniversário de 20 anos do comitê")</f>
        <v>Edição de vídeo do Sales alusivo ao aniversário de 20 anos do comitê</v>
      </c>
    </row>
    <row r="512">
      <c r="A512" s="54">
        <f>IFERROR(__xludf.DUMMYFUNCTION("""COMPUTED_VALUE"""),46129.0)</f>
        <v>46129</v>
      </c>
      <c r="B512" s="48"/>
      <c r="C512" s="48"/>
      <c r="D512" s="48"/>
      <c r="E512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513">
      <c r="A513" s="54">
        <f>IFERROR(__xludf.DUMMYFUNCTION("""COMPUTED_VALUE"""),46129.0)</f>
        <v>46129</v>
      </c>
      <c r="B513" s="48"/>
      <c r="C513" s="48"/>
      <c r="D513" s="48"/>
      <c r="E513" s="53" t="str">
        <f>IFERROR(__xludf.DUMMYFUNCTION("""COMPUTED_VALUE"""),"Inserir dados das Coletas no SIGERH")</f>
        <v>Inserir dados das Coletas no SIGERH</v>
      </c>
    </row>
    <row r="514">
      <c r="A514" s="54">
        <f>IFERROR(__xludf.DUMMYFUNCTION("""COMPUTED_VALUE"""),46129.0)</f>
        <v>46129</v>
      </c>
      <c r="B514" s="48"/>
      <c r="C514" s="48"/>
      <c r="D514" s="48"/>
      <c r="E514" s="53" t="str">
        <f>IFERROR(__xludf.DUMMYFUNCTION("""COMPUTED_VALUE"""),"Enviar frascos das Coletas aos Correios")</f>
        <v>Enviar frascos das Coletas aos Correios</v>
      </c>
    </row>
    <row r="515">
      <c r="A515" s="54">
        <f>IFERROR(__xludf.DUMMYFUNCTION("""COMPUTED_VALUE"""),46129.0)</f>
        <v>46129</v>
      </c>
      <c r="B515" s="48"/>
      <c r="C515" s="48"/>
      <c r="D515" s="48"/>
      <c r="E515" s="53" t="str">
        <f>IFERROR(__xludf.DUMMYFUNCTION("""COMPUTED_VALUE"""),"Atualização dos dados de Captação e Perenização no SIGERH")</f>
        <v>Atualização dos dados de Captação e Perenização no SIGERH</v>
      </c>
    </row>
    <row r="516">
      <c r="A516" s="54">
        <f>IFERROR(__xludf.DUMMYFUNCTION("""COMPUTED_VALUE"""),46129.0)</f>
        <v>46129</v>
      </c>
      <c r="B516" s="48"/>
      <c r="C516" s="48"/>
      <c r="D516" s="48"/>
      <c r="E516" s="53" t="str">
        <f>IFERROR(__xludf.DUMMYFUNCTION("""COMPUTED_VALUE"""),"Visita Técnica, verificação de correção de anomalias e Medição de Vazão nas captações nos açudes Missi e São Pedro da Timbaúba")</f>
        <v>Visita Técnica, verificação de correção de anomalias e Medição de Vazão nas captações nos açudes Missi e São Pedro da Timbaúba</v>
      </c>
    </row>
    <row r="517">
      <c r="A517" s="54">
        <f>IFERROR(__xludf.DUMMYFUNCTION("""COMPUTED_VALUE"""),46129.0)</f>
        <v>46129</v>
      </c>
      <c r="B517" s="48"/>
      <c r="C517" s="48"/>
      <c r="D517" s="48"/>
      <c r="E517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518">
      <c r="A518" s="54">
        <f>IFERROR(__xludf.DUMMYFUNCTION("""COMPUTED_VALUE"""),46130.0)</f>
        <v>46130</v>
      </c>
      <c r="B518" s="48"/>
      <c r="C518" s="48"/>
      <c r="D518" s="48"/>
      <c r="E518" s="53" t="str">
        <f>IFERROR(__xludf.DUMMYFUNCTION("""COMPUTED_VALUE"""),"Dia Nacional do Livro Infantil")</f>
        <v>Dia Nacional do Livro Infantil</v>
      </c>
    </row>
    <row r="519">
      <c r="A519" s="54">
        <f>IFERROR(__xludf.DUMMYFUNCTION("""COMPUTED_VALUE"""),46131.0)</f>
        <v>46131</v>
      </c>
      <c r="B519" s="48"/>
      <c r="C519" s="48"/>
      <c r="D519" s="48"/>
      <c r="E519" s="53" t="str">
        <f>IFERROR(__xludf.DUMMYFUNCTION("""COMPUTED_VALUE"""),"Dia da Luta dos Povos Indígenas")</f>
        <v>Dia da Luta dos Povos Indígenas</v>
      </c>
    </row>
    <row r="520">
      <c r="A520" s="54">
        <f>IFERROR(__xludf.DUMMYFUNCTION("""COMPUTED_VALUE"""),46132.0)</f>
        <v>46132</v>
      </c>
      <c r="B520" s="48"/>
      <c r="C520" s="48"/>
      <c r="D520" s="48"/>
      <c r="E520" s="53" t="str">
        <f>IFERROR(__xludf.DUMMYFUNCTION("""COMPUTED_VALUE"""),"reunião de fiscalização com a SRH")</f>
        <v>reunião de fiscalização com a SRH</v>
      </c>
    </row>
    <row r="521">
      <c r="A521" s="54">
        <f>IFERROR(__xludf.DUMMYFUNCTION("""COMPUTED_VALUE"""),46132.0)</f>
        <v>46132</v>
      </c>
      <c r="B521" s="48"/>
      <c r="C521" s="48"/>
      <c r="D521" s="48"/>
      <c r="E521" s="53" t="str">
        <f>IFERROR(__xludf.DUMMYFUNCTION("""COMPUTED_VALUE"""),"Publicar story do aniversário da Samiramisthais Souza Linhares – FUNCEME")</f>
        <v>Publicar story do aniversário da Samiramisthais Souza Linhares – FUNCEME</v>
      </c>
    </row>
    <row r="522">
      <c r="A522" s="54">
        <f>IFERROR(__xludf.DUMMYFUNCTION("""COMPUTED_VALUE"""),46132.0)</f>
        <v>46132</v>
      </c>
      <c r="B522" s="48"/>
      <c r="C522" s="48"/>
      <c r="D522" s="48"/>
      <c r="E522" s="53" t="str">
        <f>IFERROR(__xludf.DUMMYFUNCTION("""COMPUTED_VALUE"""),"Edição de vídeo da Diretoria alusivo aos 20 anos do comitê")</f>
        <v>Edição de vídeo da Diretoria alusivo aos 20 anos do comitê</v>
      </c>
    </row>
    <row r="523">
      <c r="A523" s="54">
        <f>IFERROR(__xludf.DUMMYFUNCTION("""COMPUTED_VALUE"""),46132.0)</f>
        <v>46132</v>
      </c>
      <c r="B523" s="48"/>
      <c r="C523" s="48"/>
      <c r="D523" s="48"/>
      <c r="E523" s="53" t="str">
        <f>IFERROR(__xludf.DUMMYFUNCTION("""COMPUTED_VALUE"""),"Produção do relatório do Indicador de Instalação e Manutenção de Medidores")</f>
        <v>Produção do relatório do Indicador de Instalação e Manutenção de Medidores</v>
      </c>
    </row>
    <row r="524">
      <c r="A524" s="54">
        <f>IFERROR(__xludf.DUMMYFUNCTION("""COMPUTED_VALUE"""),46132.0)</f>
        <v>46132</v>
      </c>
      <c r="B524" s="48"/>
      <c r="C524" s="48"/>
      <c r="D524" s="48"/>
      <c r="E524" s="53" t="str">
        <f>IFERROR(__xludf.DUMMYFUNCTION("""COMPUTED_VALUE"""),"Medição de Vazão nas captações dos açudes Patos e Santo Antonio de Aracatiaçu")</f>
        <v>Medição de Vazão nas captações dos açudes Patos e Santo Antonio de Aracatiaçu</v>
      </c>
    </row>
    <row r="525">
      <c r="A525" s="54">
        <f>IFERROR(__xludf.DUMMYFUNCTION("""COMPUTED_VALUE"""),46133.0)</f>
        <v>46133</v>
      </c>
      <c r="B525" s="48"/>
      <c r="C525" s="48"/>
      <c r="D525" s="48"/>
      <c r="E525" s="53" t="str">
        <f>IFERROR(__xludf.DUMMYFUNCTION("""COMPUTED_VALUE"""),"TIRADENTES")</f>
        <v>TIRADENTES</v>
      </c>
    </row>
    <row r="526">
      <c r="A526" s="54">
        <f>IFERROR(__xludf.DUMMYFUNCTION("""COMPUTED_VALUE"""),46134.0)</f>
        <v>46134</v>
      </c>
      <c r="B526" s="48"/>
      <c r="C526" s="48"/>
      <c r="D526" s="48"/>
      <c r="E526" s="53" t="str">
        <f>IFERROR(__xludf.DUMMYFUNCTION("""COMPUTED_VALUE"""),"Publicação de story sobre o Dia do Planeta Terra")</f>
        <v>Publicação de story sobre o Dia do Planeta Terra</v>
      </c>
    </row>
    <row r="527">
      <c r="A527" s="54">
        <f>IFERROR(__xludf.DUMMYFUNCTION("""COMPUTED_VALUE"""),46134.0)</f>
        <v>46134</v>
      </c>
      <c r="B527" s="48"/>
      <c r="C527" s="48"/>
      <c r="D527" s="48"/>
      <c r="E527" s="53" t="str">
        <f>IFERROR(__xludf.DUMMYFUNCTION("""COMPUTED_VALUE"""),"Gravação de vídeo sobre o aniversário de emancipação do município de Miraíma")</f>
        <v>Gravação de vídeo sobre o aniversário de emancipação do município de Miraíma</v>
      </c>
    </row>
    <row r="528">
      <c r="A528" s="54">
        <f>IFERROR(__xludf.DUMMYFUNCTION("""COMPUTED_VALUE"""),46134.0)</f>
        <v>46134</v>
      </c>
      <c r="B528" s="48"/>
      <c r="C528" s="48"/>
      <c r="D528" s="48"/>
      <c r="E528" s="53" t="str">
        <f>IFERROR(__xludf.DUMMYFUNCTION("""COMPUTED_VALUE"""),"Gravação de vídeo sobre o aniversário do CBH Litoral")</f>
        <v>Gravação de vídeo sobre o aniversário do CBH Litoral</v>
      </c>
    </row>
    <row r="529">
      <c r="A529" s="54">
        <f>IFERROR(__xludf.DUMMYFUNCTION("""COMPUTED_VALUE"""),46134.0)</f>
        <v>46134</v>
      </c>
      <c r="B529" s="48"/>
      <c r="C529" s="48"/>
      <c r="D529" s="48"/>
      <c r="E529" s="53" t="str">
        <f>IFERROR(__xludf.DUMMYFUNCTION("""COMPUTED_VALUE"""),"Inserir consumo das CAGECEs na planilha")</f>
        <v>Inserir consumo das CAGECEs na planilha</v>
      </c>
    </row>
    <row r="530">
      <c r="A530" s="54">
        <f>IFERROR(__xludf.DUMMYFUNCTION("""COMPUTED_VALUE"""),46134.0)</f>
        <v>46134</v>
      </c>
      <c r="B530" s="48"/>
      <c r="C530" s="48"/>
      <c r="D530" s="48"/>
      <c r="E530" s="53" t="str">
        <f>IFERROR(__xludf.DUMMYFUNCTION("""COMPUTED_VALUE"""),"Campanha de fiscalização com a SRH")</f>
        <v>Campanha de fiscalização com a SRH</v>
      </c>
    </row>
    <row r="531">
      <c r="A531" s="54">
        <f>IFERROR(__xludf.DUMMYFUNCTION("""COMPUTED_VALUE"""),46135.0)</f>
        <v>46135</v>
      </c>
      <c r="B531" s="48"/>
      <c r="C531" s="48"/>
      <c r="D531" s="48"/>
      <c r="E531" s="53" t="str">
        <f>IFERROR(__xludf.DUMMYFUNCTION("""COMPUTED_VALUE"""),"Reunião na ALECE com representantes do FCCBH ")</f>
        <v>Reunião na ALECE com representantes do FCCBH </v>
      </c>
    </row>
    <row r="532">
      <c r="A532" s="54">
        <f>IFERROR(__xludf.DUMMYFUNCTION("""COMPUTED_VALUE"""),46135.0)</f>
        <v>46135</v>
      </c>
      <c r="B532" s="48"/>
      <c r="C532" s="48"/>
      <c r="D532" s="48"/>
      <c r="E532" s="53" t="str">
        <f>IFERROR(__xludf.DUMMYFUNCTION("""COMPUTED_VALUE"""),"Produção de matéria do aniversário de 20 anos do CBH Litoral")</f>
        <v>Produção de matéria do aniversário de 20 anos do CBH Litoral</v>
      </c>
    </row>
    <row r="533">
      <c r="A533" s="54">
        <f>IFERROR(__xludf.DUMMYFUNCTION("""COMPUTED_VALUE"""),46135.0)</f>
        <v>46135</v>
      </c>
      <c r="B533" s="48"/>
      <c r="C533" s="48"/>
      <c r="D533" s="48"/>
      <c r="E533" s="53" t="str">
        <f>IFERROR(__xludf.DUMMYFUNCTION("""COMPUTED_VALUE"""),"Incluir programação de maio no drive da Gestão Participativa e Gerência Regional")</f>
        <v>Incluir programação de maio no drive da Gestão Participativa e Gerência Regional</v>
      </c>
    </row>
    <row r="534">
      <c r="A534" s="54">
        <f>IFERROR(__xludf.DUMMYFUNCTION("""COMPUTED_VALUE"""),46135.0)</f>
        <v>46135</v>
      </c>
      <c r="B534" s="48"/>
      <c r="C534" s="48"/>
      <c r="D534" s="48"/>
      <c r="E534" s="53" t="str">
        <f>IFERROR(__xludf.DUMMYFUNCTION("""COMPUTED_VALUE""")," Convite Aniversário CBH Litoral / Curso de Pilotagem Segura")</f>
        <v> Convite Aniversário CBH Litoral / Curso de Pilotagem Segura</v>
      </c>
    </row>
    <row r="535">
      <c r="A535" s="54">
        <f>IFERROR(__xludf.DUMMYFUNCTION("""COMPUTED_VALUE"""),46135.0)</f>
        <v>46135</v>
      </c>
      <c r="B535" s="48"/>
      <c r="C535" s="48"/>
      <c r="D535" s="48"/>
      <c r="E535" s="53" t="str">
        <f>IFERROR(__xludf.DUMMYFUNCTION("""COMPUTED_VALUE"""),"Campanha de fiscalização com a SRH")</f>
        <v>Campanha de fiscalização com a SRH</v>
      </c>
    </row>
    <row r="536">
      <c r="A536" s="54">
        <f>IFERROR(__xludf.DUMMYFUNCTION("""COMPUTED_VALUE"""),46136.0)</f>
        <v>46136</v>
      </c>
      <c r="B536" s="48"/>
      <c r="C536" s="48"/>
      <c r="D536" s="48"/>
      <c r="E536" s="53" t="str">
        <f>IFERROR(__xludf.DUMMYFUNCTION("""COMPUTED_VALUE"""),"Atualizar planilha da Gerência Regional e Gestão Participativa com atividades programadas da semana")</f>
        <v>Atualizar planilha da Gerência Regional e Gestão Participativa com atividades programadas da semana</v>
      </c>
    </row>
    <row r="537">
      <c r="A537" s="54">
        <f>IFERROR(__xludf.DUMMYFUNCTION("""COMPUTED_VALUE"""),46136.0)</f>
        <v>46136</v>
      </c>
      <c r="B537" s="48"/>
      <c r="C537" s="48"/>
      <c r="D537" s="48"/>
      <c r="E537" s="53" t="str">
        <f>IFERROR(__xludf.DUMMYFUNCTION("""COMPUTED_VALUE"""),"Campanha de fiscalização com a SRH")</f>
        <v>Campanha de fiscalização com a SRH</v>
      </c>
    </row>
    <row r="538">
      <c r="A538" s="54">
        <f>IFERROR(__xludf.DUMMYFUNCTION("""COMPUTED_VALUE"""),46136.0)</f>
        <v>46136</v>
      </c>
      <c r="B538" s="48"/>
      <c r="C538" s="48"/>
      <c r="D538" s="48"/>
      <c r="E538" s="53" t="str">
        <f>IFERROR(__xludf.DUMMYFUNCTION("""COMPUTED_VALUE"""),"Atualização dos dados de Captação e Perenização no SIGERH")</f>
        <v>Atualização dos dados de Captação e Perenização no SIGERH</v>
      </c>
    </row>
    <row r="539">
      <c r="A539" s="54">
        <f>IFERROR(__xludf.DUMMYFUNCTION("""COMPUTED_VALUE"""),46136.0)</f>
        <v>46136</v>
      </c>
      <c r="B539" s="48"/>
      <c r="C539" s="48"/>
      <c r="D539" s="48"/>
      <c r="E539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540">
      <c r="A540" s="54">
        <f>IFERROR(__xludf.DUMMYFUNCTION("""COMPUTED_VALUE"""),46137.0)</f>
        <v>46137</v>
      </c>
      <c r="B540" s="48"/>
      <c r="C540" s="48"/>
      <c r="D540" s="48"/>
      <c r="E540" s="53" t="str">
        <f>IFERROR(__xludf.DUMMYFUNCTION("""COMPUTED_VALUE"""),"Publicar story do aniversário do Sr. José Lidenor dos Santos e Rafael Castro dos Santos")</f>
        <v>Publicar story do aniversário do Sr. José Lidenor dos Santos e Rafael Castro dos Santos</v>
      </c>
    </row>
    <row r="541">
      <c r="A541" s="54">
        <f>IFERROR(__xludf.DUMMYFUNCTION("""COMPUTED_VALUE"""),46138.0)</f>
        <v>46138</v>
      </c>
      <c r="B541" s="48"/>
      <c r="C541" s="48"/>
      <c r="D541" s="48"/>
      <c r="E541" s="48"/>
    </row>
    <row r="542">
      <c r="A542" s="54">
        <f>IFERROR(__xludf.DUMMYFUNCTION("""COMPUTED_VALUE"""),46139.0)</f>
        <v>46139</v>
      </c>
      <c r="B542" s="48"/>
      <c r="C542" s="48"/>
      <c r="D542" s="48"/>
      <c r="E542" s="53" t="str">
        <f>IFERROR(__xludf.DUMMYFUNCTION("""COMPUTED_VALUE"""),"Reunião de Planejamento da GEPAR")</f>
        <v>Reunião de Planejamento da GEPAR</v>
      </c>
    </row>
    <row r="543">
      <c r="A543" s="54">
        <f>IFERROR(__xludf.DUMMYFUNCTION("""COMPUTED_VALUE"""),46139.0)</f>
        <v>46139</v>
      </c>
      <c r="B543" s="48"/>
      <c r="C543" s="48"/>
      <c r="D543" s="48"/>
      <c r="E543" s="53" t="str">
        <f>IFERROR(__xludf.DUMMYFUNCTION("""COMPUTED_VALUE"""),"Diagnóstico do açude Gameleira")</f>
        <v>Diagnóstico do açude Gameleira</v>
      </c>
    </row>
    <row r="544">
      <c r="A544" s="54">
        <f>IFERROR(__xludf.DUMMYFUNCTION("""COMPUTED_VALUE"""),46139.0)</f>
        <v>46139</v>
      </c>
      <c r="B544" s="48"/>
      <c r="C544" s="48"/>
      <c r="D544" s="48"/>
      <c r="E544" s="53" t="str">
        <f>IFERROR(__xludf.DUMMYFUNCTION("""COMPUTED_VALUE"""),"Providenciar stories dos aniversariantes do mês de maio e confirmar aniversários ")</f>
        <v>Providenciar stories dos aniversariantes do mês de maio e confirmar aniversários </v>
      </c>
    </row>
    <row r="545">
      <c r="A545" s="54">
        <f>IFERROR(__xludf.DUMMYFUNCTION("""COMPUTED_VALUE"""),46139.0)</f>
        <v>46139</v>
      </c>
      <c r="B545" s="48"/>
      <c r="C545" s="48"/>
      <c r="D545" s="48"/>
      <c r="E545" s="53" t="str">
        <f>IFERROR(__xludf.DUMMYFUNCTION("""COMPUTED_VALUE"""),"Produção dos stories do mês de maio")</f>
        <v>Produção dos stories do mês de maio</v>
      </c>
    </row>
    <row r="546">
      <c r="A546" s="54">
        <f>IFERROR(__xludf.DUMMYFUNCTION("""COMPUTED_VALUE"""),46139.0)</f>
        <v>46139</v>
      </c>
      <c r="B546" s="48"/>
      <c r="C546" s="48"/>
      <c r="D546" s="48"/>
      <c r="E546" s="53" t="str">
        <f>IFERROR(__xludf.DUMMYFUNCTION("""COMPUTED_VALUE"""),"Produção do reels ""Litoral em um Minuto""")</f>
        <v>Produção do reels "Litoral em um Minuto"</v>
      </c>
    </row>
    <row r="547">
      <c r="A547" s="54">
        <f>IFERROR(__xludf.DUMMYFUNCTION("""COMPUTED_VALUE"""),46139.0)</f>
        <v>46139</v>
      </c>
      <c r="B547" s="48"/>
      <c r="C547" s="48"/>
      <c r="D547" s="48"/>
      <c r="E547" s="53" t="str">
        <f>IFERROR(__xludf.DUMMYFUNCTION("""COMPUTED_VALUE"""),"Monitoramento dos Poços e Medição de Vazão em Usuários")</f>
        <v>Monitoramento dos Poços e Medição de Vazão em Usuários</v>
      </c>
    </row>
    <row r="548">
      <c r="A548" s="54">
        <f>IFERROR(__xludf.DUMMYFUNCTION("""COMPUTED_VALUE"""),46139.0)</f>
        <v>46139</v>
      </c>
      <c r="B548" s="48"/>
      <c r="C548" s="48"/>
      <c r="D548" s="48"/>
      <c r="E548" s="53" t="str">
        <f>IFERROR(__xludf.DUMMYFUNCTION("""COMPUTED_VALUE"""),"Justificar planilha de não localizados ")</f>
        <v>Justificar planilha de não localizados </v>
      </c>
    </row>
    <row r="549">
      <c r="A549" s="54">
        <f>IFERROR(__xludf.DUMMYFUNCTION("""COMPUTED_VALUE"""),46140.0)</f>
        <v>46140</v>
      </c>
      <c r="B549" s="48"/>
      <c r="C549" s="48"/>
      <c r="D549" s="48"/>
      <c r="E549" s="53" t="str">
        <f>IFERROR(__xludf.DUMMYFUNCTION("""COMPUTED_VALUE"""),"REUNIÃO GERENTES E SUPERVISÃO REGIONAL")</f>
        <v>REUNIÃO GERENTES E SUPERVISÃO REGIONAL</v>
      </c>
    </row>
    <row r="550">
      <c r="A550" s="54">
        <f>IFERROR(__xludf.DUMMYFUNCTION("""COMPUTED_VALUE"""),46140.0)</f>
        <v>46140</v>
      </c>
      <c r="B550" s="48"/>
      <c r="C550" s="48"/>
      <c r="D550" s="48"/>
      <c r="E550" s="53" t="str">
        <f>IFERROR(__xludf.DUMMYFUNCTION("""COMPUTED_VALUE"""),"Reunião de Planejamento da GEPAR")</f>
        <v>Reunião de Planejamento da GEPAR</v>
      </c>
    </row>
    <row r="551">
      <c r="A551" s="54">
        <f>IFERROR(__xludf.DUMMYFUNCTION("""COMPUTED_VALUE"""),46140.0)</f>
        <v>46140</v>
      </c>
      <c r="B551" s="48"/>
      <c r="C551" s="48"/>
      <c r="D551" s="48"/>
      <c r="E551" s="53" t="str">
        <f>IFERROR(__xludf.DUMMYFUNCTION("""COMPUTED_VALUE"""),"Diagnóstico do açude Gameleira")</f>
        <v>Diagnóstico do açude Gameleira</v>
      </c>
    </row>
    <row r="552">
      <c r="A552" s="54">
        <f>IFERROR(__xludf.DUMMYFUNCTION("""COMPUTED_VALUE"""),46140.0)</f>
        <v>46140</v>
      </c>
      <c r="B552" s="48"/>
      <c r="C552" s="48"/>
      <c r="D552" s="48"/>
      <c r="E552" s="53" t="str">
        <f>IFERROR(__xludf.DUMMYFUNCTION("""COMPUTED_VALUE"""),"Publicação de reels sobre o Dia da Caatinga")</f>
        <v>Publicação de reels sobre o Dia da Caatinga</v>
      </c>
    </row>
    <row r="553">
      <c r="A553" s="54">
        <f>IFERROR(__xludf.DUMMYFUNCTION("""COMPUTED_VALUE"""),46140.0)</f>
        <v>46140</v>
      </c>
      <c r="B553" s="48"/>
      <c r="C553" s="48"/>
      <c r="D553" s="48"/>
      <c r="E553" s="48" t="str">
        <f>IFERROR(__xludf.DUMMYFUNCTION("""COMPUTED_VALUE"""),"Visita Técnica, verificação de correção de anomalias e Medição de Vazão nas captações nos açudes Quandu e Poço Verde")</f>
        <v>Visita Técnica, verificação de correção de anomalias e Medição de Vazão nas captações nos açudes Quandu e Poço Verde</v>
      </c>
    </row>
    <row r="554">
      <c r="A554" s="54">
        <f>IFERROR(__xludf.DUMMYFUNCTION("""COMPUTED_VALUE"""),46141.0)</f>
        <v>46141</v>
      </c>
      <c r="B554" s="48"/>
      <c r="C554" s="48"/>
      <c r="D554" s="48"/>
      <c r="E554" s="53" t="str">
        <f>IFERROR(__xludf.DUMMYFUNCTION("""COMPUTED_VALUE"""),"Reunião de Planejamento da GEPAR")</f>
        <v>Reunião de Planejamento da GEPAR</v>
      </c>
    </row>
    <row r="555">
      <c r="A555" s="54">
        <f>IFERROR(__xludf.DUMMYFUNCTION("""COMPUTED_VALUE"""),46141.0)</f>
        <v>46141</v>
      </c>
      <c r="B555" s="48"/>
      <c r="C555" s="48"/>
      <c r="D555" s="48"/>
      <c r="E555" s="53" t="str">
        <f>IFERROR(__xludf.DUMMYFUNCTION("""COMPUTED_VALUE"""),"FAG")</f>
        <v>FAG</v>
      </c>
    </row>
    <row r="556">
      <c r="A556" s="54">
        <f>IFERROR(__xludf.DUMMYFUNCTION("""COMPUTED_VALUE"""),46142.0)</f>
        <v>46142</v>
      </c>
      <c r="B556" s="48"/>
      <c r="C556" s="48"/>
      <c r="D556" s="48"/>
      <c r="E556" s="53" t="str">
        <f>IFERROR(__xludf.DUMMYFUNCTION("""COMPUTED_VALUE"""),"Publicação do reels ""Litoral em um Minuto""")</f>
        <v>Publicação do reels "Litoral em um Minuto"</v>
      </c>
    </row>
    <row r="557">
      <c r="A557" s="54">
        <f>IFERROR(__xludf.DUMMYFUNCTION("""COMPUTED_VALUE"""),46142.0)</f>
        <v>46142</v>
      </c>
      <c r="B557" s="48"/>
      <c r="C557" s="48"/>
      <c r="D557" s="48"/>
      <c r="E557" s="53" t="str">
        <f>IFERROR(__xludf.DUMMYFUNCTION("""COMPUTED_VALUE"""),"Diagnóstico do açude Gameleira")</f>
        <v>Diagnóstico do açude Gameleira</v>
      </c>
    </row>
    <row r="558">
      <c r="A558" s="54">
        <f>IFERROR(__xludf.DUMMYFUNCTION("""COMPUTED_VALUE"""),46142.0)</f>
        <v>46142</v>
      </c>
      <c r="B558" s="48"/>
      <c r="C558" s="48"/>
      <c r="D558" s="48"/>
      <c r="E558" s="53" t="str">
        <f>IFERROR(__xludf.DUMMYFUNCTION("""COMPUTED_VALUE"""),"Atualização dos dados de Captação e Perenização no SIGERH")</f>
        <v>Atualização dos dados de Captação e Perenização no SIGERH</v>
      </c>
    </row>
    <row r="559">
      <c r="A559" s="54">
        <f>IFERROR(__xludf.DUMMYFUNCTION("""COMPUTED_VALUE"""),46142.0)</f>
        <v>46142</v>
      </c>
      <c r="B559" s="48"/>
      <c r="C559" s="48"/>
      <c r="D559" s="48"/>
      <c r="E559" s="53" t="str">
        <f>IFERROR(__xludf.DUMMYFUNCTION("""COMPUTED_VALUE"""),"Instrumentação dos açudes Missi e Poço Verde (Piezômetros e Medidores de Vazão de Percolação)")</f>
        <v>Instrumentação dos açudes Missi e Poço Verde (Piezômetros e Medidores de Vazão de Percolação)</v>
      </c>
    </row>
    <row r="560">
      <c r="A560" s="54">
        <f>IFERROR(__xludf.DUMMYFUNCTION("""COMPUTED_VALUE"""),46143.0)</f>
        <v>46143</v>
      </c>
      <c r="B560" s="48"/>
      <c r="C560" s="48"/>
      <c r="D560" s="48"/>
      <c r="E560" s="53" t="str">
        <f>IFERROR(__xludf.DUMMYFUNCTION("""COMPUTED_VALUE"""),"DIA DO TRABALHO")</f>
        <v>DIA DO TRABALHO</v>
      </c>
    </row>
    <row r="561">
      <c r="A561" s="54">
        <f>IFERROR(__xludf.DUMMYFUNCTION("""COMPUTED_VALUE"""),46143.0)</f>
        <v>46143</v>
      </c>
      <c r="B561" s="48"/>
      <c r="C561" s="48"/>
      <c r="D561" s="48"/>
      <c r="E561" s="53" t="str">
        <f>IFERROR(__xludf.DUMMYFUNCTION("""COMPUTED_VALUE"""),"Publicação de story sobre o Dia do Trabalhador ")</f>
        <v>Publicação de story sobre o Dia do Trabalhador </v>
      </c>
    </row>
    <row r="562">
      <c r="A562" s="54">
        <f>IFERROR(__xludf.DUMMYFUNCTION("""COMPUTED_VALUE"""),46143.0)</f>
        <v>46143</v>
      </c>
      <c r="B562" s="48"/>
      <c r="C562" s="48"/>
      <c r="D562" s="48"/>
      <c r="E562" s="53" t="str">
        <f>IFERROR(__xludf.DUMMYFUNCTION("""COMPUTED_VALUE"""),"Publicação de story com o calendário de maio no Instagram do CBH Litoral")</f>
        <v>Publicação de story com o calendário de maio no Instagram do CBH Litoral</v>
      </c>
    </row>
    <row r="563">
      <c r="A563" s="54">
        <f>IFERROR(__xludf.DUMMYFUNCTION("""COMPUTED_VALUE"""),46144.0)</f>
        <v>46144</v>
      </c>
      <c r="B563" s="48"/>
      <c r="C563" s="48"/>
      <c r="D563" s="48"/>
      <c r="E563" s="48"/>
    </row>
    <row r="564">
      <c r="A564" s="54">
        <f>IFERROR(__xludf.DUMMYFUNCTION("""COMPUTED_VALUE"""),46145.0)</f>
        <v>46145</v>
      </c>
      <c r="B564" s="48"/>
      <c r="C564" s="48"/>
      <c r="D564" s="48"/>
      <c r="E564" s="48"/>
    </row>
    <row r="565">
      <c r="A565" s="54">
        <f>IFERROR(__xludf.DUMMYFUNCTION("""COMPUTED_VALUE"""),46146.0)</f>
        <v>46146</v>
      </c>
      <c r="B565" s="48"/>
      <c r="C565" s="48"/>
      <c r="D565" s="48"/>
      <c r="E565" s="53" t="str">
        <f>IFERROR(__xludf.DUMMYFUNCTION("""COMPUTED_VALUE"""),"Reunião de alinhamento")</f>
        <v>Reunião de alinhamento</v>
      </c>
    </row>
    <row r="566">
      <c r="A566" s="54">
        <f>IFERROR(__xludf.DUMMYFUNCTION("""COMPUTED_VALUE"""),46146.0)</f>
        <v>46146</v>
      </c>
      <c r="B566" s="48"/>
      <c r="C566" s="48"/>
      <c r="D566" s="48"/>
      <c r="E566" s="53" t="str">
        <f>IFERROR(__xludf.DUMMYFUNCTION("""COMPUTED_VALUE"""),"Produção dos stories para as redes sociais do CBH Litoral")</f>
        <v>Produção dos stories para as redes sociais do CBH Litoral</v>
      </c>
    </row>
    <row r="567">
      <c r="A567" s="54">
        <f>IFERROR(__xludf.DUMMYFUNCTION("""COMPUTED_VALUE"""),46146.0)</f>
        <v>46146</v>
      </c>
      <c r="B567" s="48"/>
      <c r="C567" s="48"/>
      <c r="D567" s="48"/>
      <c r="E567" s="53" t="str">
        <f>IFERROR(__xludf.DUMMYFUNCTION("""COMPUTED_VALUE"""),"Confirmar presenças para o aniversário de 20 anos do CBH Litoral")</f>
        <v>Confirmar presenças para o aniversário de 20 anos do CBH Litoral</v>
      </c>
    </row>
    <row r="568">
      <c r="A568" s="54">
        <f>IFERROR(__xludf.DUMMYFUNCTION("""COMPUTED_VALUE"""),46146.0)</f>
        <v>46146</v>
      </c>
      <c r="B568" s="48"/>
      <c r="C568" s="48"/>
      <c r="D568" s="48"/>
      <c r="E568" s="53" t="str">
        <f>IFERROR(__xludf.DUMMYFUNCTION("""COMPUTED_VALUE"""),"Providenciar atividades programadas para o mês de junho")</f>
        <v>Providenciar atividades programadas para o mês de junho</v>
      </c>
    </row>
    <row r="569">
      <c r="A569" s="54">
        <f>IFERROR(__xludf.DUMMYFUNCTION("""COMPUTED_VALUE"""),46146.0)</f>
        <v>46146</v>
      </c>
      <c r="B569" s="48"/>
      <c r="C569" s="48"/>
      <c r="D569" s="48"/>
      <c r="E569" s="53" t="str">
        <f>IFERROR(__xludf.DUMMYFUNCTION("""COMPUTED_VALUE"""),"Contato com a Nádria sobre o vídeo alusivo ao Dia Mundial da Biodiversidade")</f>
        <v>Contato com a Nádria sobre o vídeo alusivo ao Dia Mundial da Biodiversidade</v>
      </c>
    </row>
    <row r="570">
      <c r="A570" s="54">
        <f>IFERROR(__xludf.DUMMYFUNCTION("""COMPUTED_VALUE"""),46146.0)</f>
        <v>46146</v>
      </c>
      <c r="B570" s="48"/>
      <c r="C570" s="48"/>
      <c r="D570" s="48"/>
      <c r="E570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571">
      <c r="A571" s="54">
        <f>IFERROR(__xludf.DUMMYFUNCTION("""COMPUTED_VALUE"""),46146.0)</f>
        <v>46146</v>
      </c>
      <c r="B571" s="48"/>
      <c r="C571" s="48"/>
      <c r="D571" s="48"/>
      <c r="E571" s="53" t="str">
        <f>IFERROR(__xludf.DUMMYFUNCTION("""COMPUTED_VALUE"""),"Visita para acompanhar situação de usuário quanto a recebimento e
pagamento de faturas sobre consumo de água bruta")</f>
        <v>Visita para acompanhar situação de usuário quanto a recebimento e
pagamento de faturas sobre consumo de água bruta</v>
      </c>
    </row>
    <row r="572">
      <c r="A572" s="54">
        <f>IFERROR(__xludf.DUMMYFUNCTION("""COMPUTED_VALUE"""),46146.0)</f>
        <v>46146</v>
      </c>
      <c r="B572" s="48"/>
      <c r="C572" s="48"/>
      <c r="D572" s="48"/>
      <c r="E572" s="53" t="str">
        <f>IFERROR(__xludf.DUMMYFUNCTION("""COMPUTED_VALUE"""),"Atualização dos dados de Captação e Perenização no SIGERH")</f>
        <v>Atualização dos dados de Captação e Perenização no SIGERH</v>
      </c>
    </row>
    <row r="573">
      <c r="A573" s="54">
        <f>IFERROR(__xludf.DUMMYFUNCTION("""COMPUTED_VALUE"""),46146.0)</f>
        <v>46146</v>
      </c>
      <c r="B573" s="48"/>
      <c r="C573" s="48"/>
      <c r="D573" s="48"/>
      <c r="E573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574">
      <c r="A574" s="54">
        <f>IFERROR(__xludf.DUMMYFUNCTION("""COMPUTED_VALUE"""),46146.0)</f>
        <v>46146</v>
      </c>
      <c r="B574" s="48"/>
      <c r="C574" s="48"/>
      <c r="D574" s="48"/>
      <c r="E574" s="53" t="str">
        <f>IFERROR(__xludf.DUMMYFUNCTION("""COMPUTED_VALUE"""),"solicitação de combustivel ")</f>
        <v>solicitação de combustivel </v>
      </c>
    </row>
    <row r="575">
      <c r="A575" s="54">
        <f>IFERROR(__xludf.DUMMYFUNCTION("""COMPUTED_VALUE"""),46146.0)</f>
        <v>46146</v>
      </c>
      <c r="B575" s="48"/>
      <c r="C575" s="48"/>
      <c r="D575" s="48"/>
      <c r="E575" s="53" t="str">
        <f>IFERROR(__xludf.DUMMYFUNCTION("""COMPUTED_VALUE"""),"Inserção de diarias ")</f>
        <v>Inserção de diarias </v>
      </c>
    </row>
    <row r="576">
      <c r="A576" s="54">
        <f>IFERROR(__xludf.DUMMYFUNCTION("""COMPUTED_VALUE"""),46147.0)</f>
        <v>46147</v>
      </c>
      <c r="B576" s="48"/>
      <c r="C576" s="48"/>
      <c r="D576" s="48"/>
      <c r="E576" s="53" t="str">
        <f>IFERROR(__xludf.DUMMYFUNCTION("""COMPUTED_VALUE"""),"Edição de vídeo sobre o aniversário de emancipação do município de Miraíma")</f>
        <v>Edição de vídeo sobre o aniversário de emancipação do município de Miraíma</v>
      </c>
    </row>
    <row r="577">
      <c r="A577" s="54">
        <f>IFERROR(__xludf.DUMMYFUNCTION("""COMPUTED_VALUE"""),46147.0)</f>
        <v>46147</v>
      </c>
      <c r="B577" s="48"/>
      <c r="C577" s="48"/>
      <c r="D577" s="48"/>
      <c r="E577" s="53" t="str">
        <f>IFERROR(__xludf.DUMMYFUNCTION("""COMPUTED_VALUE""")," Edição de vídeo sobre o Dia Mundial da Reciclagem ")</f>
        <v> Edição de vídeo sobre o Dia Mundial da Reciclagem </v>
      </c>
    </row>
    <row r="578">
      <c r="A578" s="54">
        <f>IFERROR(__xludf.DUMMYFUNCTION("""COMPUTED_VALUE"""),46147.0)</f>
        <v>46147</v>
      </c>
      <c r="B578" s="48"/>
      <c r="C578" s="48"/>
      <c r="D578" s="48"/>
      <c r="E578" s="53" t="str">
        <f>IFERROR(__xludf.DUMMYFUNCTION("""COMPUTED_VALUE"""),"Organização de documentos para o aniversário de 20 anos do CBH Litoral")</f>
        <v>Organização de documentos para o aniversário de 20 anos do CBH Litoral</v>
      </c>
    </row>
    <row r="579">
      <c r="A579" s="54">
        <f>IFERROR(__xludf.DUMMYFUNCTION("""COMPUTED_VALUE"""),46147.0)</f>
        <v>46147</v>
      </c>
      <c r="B579" s="48"/>
      <c r="C579" s="48"/>
      <c r="D579" s="48"/>
      <c r="E579" s="53" t="str">
        <f>IFERROR(__xludf.DUMMYFUNCTION("""COMPUTED_VALUE"""),"Produção de matéria da 2ª Oficina do Plano de Secas do Hidrossistema Poço Verde ")</f>
        <v>Produção de matéria da 2ª Oficina do Plano de Secas do Hidrossistema Poço Verde </v>
      </c>
    </row>
    <row r="580">
      <c r="A580" s="54">
        <f>IFERROR(__xludf.DUMMYFUNCTION("""COMPUTED_VALUE"""),46147.0)</f>
        <v>46147</v>
      </c>
      <c r="B580" s="48"/>
      <c r="C580" s="48"/>
      <c r="D580" s="48"/>
      <c r="E580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581">
      <c r="A581" s="54">
        <f>IFERROR(__xludf.DUMMYFUNCTION("""COMPUTED_VALUE"""),46147.0)</f>
        <v>46147</v>
      </c>
      <c r="B581" s="48"/>
      <c r="C581" s="48"/>
      <c r="D581" s="48"/>
      <c r="E581" s="53" t="str">
        <f>IFERROR(__xludf.DUMMYFUNCTION("""COMPUTED_VALUE"""),"Verificação de construção de cercas irregulares na área de desapropriação do açude Missi")</f>
        <v>Verificação de construção de cercas irregulares na área de desapropriação do açude Missi</v>
      </c>
    </row>
    <row r="582">
      <c r="A582" s="54">
        <f>IFERROR(__xludf.DUMMYFUNCTION("""COMPUTED_VALUE"""),46147.0)</f>
        <v>46147</v>
      </c>
      <c r="B582" s="48"/>
      <c r="C582" s="48"/>
      <c r="D582" s="48"/>
      <c r="E582" s="53" t="str">
        <f>IFERROR(__xludf.DUMMYFUNCTION("""COMPUTED_VALUE"""),"Conferência de estoque")</f>
        <v>Conferência de estoque</v>
      </c>
    </row>
    <row r="583">
      <c r="A583" s="54">
        <f>IFERROR(__xludf.DUMMYFUNCTION("""COMPUTED_VALUE"""),46148.0)</f>
        <v>46148</v>
      </c>
      <c r="B583" s="48"/>
      <c r="C583" s="48"/>
      <c r="D583" s="48"/>
      <c r="E583" s="53" t="str">
        <f>IFERROR(__xludf.DUMMYFUNCTION("""COMPUTED_VALUE"""),"Organização de local para o aniversário de 20 anos do CBH Litoral")</f>
        <v>Organização de local para o aniversário de 20 anos do CBH Litoral</v>
      </c>
    </row>
    <row r="584">
      <c r="A584" s="54">
        <f>IFERROR(__xludf.DUMMYFUNCTION("""COMPUTED_VALUE"""),46148.0)</f>
        <v>46148</v>
      </c>
      <c r="B584" s="48"/>
      <c r="C584" s="48"/>
      <c r="D584" s="48"/>
      <c r="E584" s="53" t="str">
        <f>IFERROR(__xludf.DUMMYFUNCTION("""COMPUTED_VALUE"""),"Edição de vídeo sobre o Dia Mundial da Biodiversidade")</f>
        <v>Edição de vídeo sobre o Dia Mundial da Biodiversidade</v>
      </c>
    </row>
    <row r="585">
      <c r="A585" s="54">
        <f>IFERROR(__xludf.DUMMYFUNCTION("""COMPUTED_VALUE"""),46148.0)</f>
        <v>46148</v>
      </c>
      <c r="B585" s="48"/>
      <c r="C585" s="48"/>
      <c r="D585" s="48"/>
      <c r="E585" s="53" t="str">
        <f>IFERROR(__xludf.DUMMYFUNCTION("""COMPUTED_VALUE"""),"Edição de vídeo sobre o aniversário de emancipação do município de Irauçuba")</f>
        <v>Edição de vídeo sobre o aniversário de emancipação do município de Irauçuba</v>
      </c>
    </row>
    <row r="586">
      <c r="A586" s="54">
        <f>IFERROR(__xludf.DUMMYFUNCTION("""COMPUTED_VALUE"""),46148.0)</f>
        <v>46148</v>
      </c>
      <c r="B586" s="48"/>
      <c r="C586" s="48"/>
      <c r="D586" s="48"/>
      <c r="E586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587">
      <c r="A587" s="54">
        <f>IFERROR(__xludf.DUMMYFUNCTION("""COMPUTED_VALUE"""),46148.0)</f>
        <v>46148</v>
      </c>
      <c r="B587" s="48"/>
      <c r="C587" s="48"/>
      <c r="D587" s="48"/>
      <c r="E587" s="53" t="str">
        <f>IFERROR(__xludf.DUMMYFUNCTION("""COMPUTED_VALUE"""),"Realizar prestação de conta de diarias ")</f>
        <v>Realizar prestação de conta de diarias </v>
      </c>
    </row>
    <row r="588">
      <c r="A588" s="54">
        <f>IFERROR(__xludf.DUMMYFUNCTION("""COMPUTED_VALUE"""),46149.0)</f>
        <v>46149</v>
      </c>
      <c r="B588" s="48"/>
      <c r="C588" s="48"/>
      <c r="D588" s="48"/>
      <c r="E588" s="53" t="str">
        <f>IFERROR(__xludf.DUMMYFUNCTION("""COMPUTED_VALUE"""),"Apoio logístico para buscar os membros do comitê para o aniversário de 20 anos do CBH Litoral")</f>
        <v>Apoio logístico para buscar os membros do comitê para o aniversário de 20 anos do CBH Litoral</v>
      </c>
    </row>
    <row r="589">
      <c r="A589" s="54">
        <f>IFERROR(__xludf.DUMMYFUNCTION("""COMPUTED_VALUE"""),46149.0)</f>
        <v>46149</v>
      </c>
      <c r="B589" s="48"/>
      <c r="C589" s="48"/>
      <c r="D589" s="48"/>
      <c r="E589" s="53" t="str">
        <f>IFERROR(__xludf.DUMMYFUNCTION("""COMPUTED_VALUE"""),"Apoio logístico para buscar os membros do comitê para o aniversário de 20 anos do CBH Litoral")</f>
        <v>Apoio logístico para buscar os membros do comitê para o aniversário de 20 anos do CBH Litoral</v>
      </c>
    </row>
    <row r="590">
      <c r="A590" s="54">
        <f>IFERROR(__xludf.DUMMYFUNCTION("""COMPUTED_VALUE"""),46149.0)</f>
        <v>46149</v>
      </c>
      <c r="B590" s="48"/>
      <c r="C590" s="48"/>
      <c r="D590" s="48"/>
      <c r="E590" s="53" t="str">
        <f>IFERROR(__xludf.DUMMYFUNCTION("""COMPUTED_VALUE"""),"Apoio logístico para buscar os membros do comitê para o aniversário de 20 anos do CBH Litoral")</f>
        <v>Apoio logístico para buscar os membros do comitê para o aniversário de 20 anos do CBH Litoral</v>
      </c>
    </row>
    <row r="591">
      <c r="A591" s="54">
        <f>IFERROR(__xludf.DUMMYFUNCTION("""COMPUTED_VALUE"""),46149.0)</f>
        <v>46149</v>
      </c>
      <c r="B591" s="48"/>
      <c r="C591" s="48"/>
      <c r="D591" s="48"/>
      <c r="E591" s="53" t="str">
        <f>IFERROR(__xludf.DUMMYFUNCTION("""COMPUTED_VALUE"""),"Aniversário de 20 anos do CBH Litoral")</f>
        <v>Aniversário de 20 anos do CBH Litoral</v>
      </c>
    </row>
    <row r="592">
      <c r="A592" s="54">
        <f>IFERROR(__xludf.DUMMYFUNCTION("""COMPUTED_VALUE"""),46149.0)</f>
        <v>46149</v>
      </c>
      <c r="B592" s="48"/>
      <c r="C592" s="48"/>
      <c r="D592" s="48"/>
      <c r="E592" s="53" t="str">
        <f>IFERROR(__xludf.DUMMYFUNCTION("""COMPUTED_VALUE"""),"Publicação de matéria sobre o aniversário de 20 anos do CBH Litoral")</f>
        <v>Publicação de matéria sobre o aniversário de 20 anos do CBH Litoral</v>
      </c>
    </row>
    <row r="593">
      <c r="A593" s="54">
        <f>IFERROR(__xludf.DUMMYFUNCTION("""COMPUTED_VALUE"""),46149.0)</f>
        <v>46149</v>
      </c>
      <c r="B593" s="48"/>
      <c r="C593" s="48"/>
      <c r="D593" s="48"/>
      <c r="E593" s="53" t="str">
        <f>IFERROR(__xludf.DUMMYFUNCTION("""COMPUTED_VALUE"""),"Produção de relatório sobre os 20 anos do CBH Litoral")</f>
        <v>Produção de relatório sobre os 20 anos do CBH Litoral</v>
      </c>
    </row>
    <row r="594">
      <c r="A594" s="54">
        <f>IFERROR(__xludf.DUMMYFUNCTION("""COMPUTED_VALUE"""),46149.0)</f>
        <v>46149</v>
      </c>
      <c r="B594" s="48"/>
      <c r="C594" s="48"/>
      <c r="D594" s="48"/>
      <c r="E594" s="53" t="str">
        <f>IFERROR(__xludf.DUMMYFUNCTION("""COMPUTED_VALUE"""),"Produção de relatório de Parecer Técnico sobre os 20 anos do CBH Litoral")</f>
        <v>Produção de relatório de Parecer Técnico sobre os 20 anos do CBH Litoral</v>
      </c>
    </row>
    <row r="595">
      <c r="A595" s="54">
        <f>IFERROR(__xludf.DUMMYFUNCTION("""COMPUTED_VALUE"""),46149.0)</f>
        <v>46149</v>
      </c>
      <c r="B595" s="48"/>
      <c r="C595" s="48"/>
      <c r="D595" s="48"/>
      <c r="E595" s="53" t="str">
        <f>IFERROR(__xludf.DUMMYFUNCTION("""COMPUTED_VALUE"""),"Gravação com Moisés sobre o Dia do Trabalhador Rural
")</f>
        <v>Gravação com Moisés sobre o Dia do Trabalhador Rural
</v>
      </c>
    </row>
    <row r="596">
      <c r="A596" s="54">
        <f>IFERROR(__xludf.DUMMYFUNCTION("""COMPUTED_VALUE"""),46149.0)</f>
        <v>46149</v>
      </c>
      <c r="B596" s="48"/>
      <c r="C596" s="48"/>
      <c r="D596" s="48"/>
      <c r="E596" s="53" t="str">
        <f>IFERROR(__xludf.DUMMYFUNCTION("""COMPUTED_VALUE"""),"Gravação sobre o aniversário de emancipação de Sobral e Santana do Acaraú")</f>
        <v>Gravação sobre o aniversário de emancipação de Sobral e Santana do Acaraú</v>
      </c>
    </row>
    <row r="597">
      <c r="A597" s="54">
        <f>IFERROR(__xludf.DUMMYFUNCTION("""COMPUTED_VALUE"""),46149.0)</f>
        <v>46149</v>
      </c>
      <c r="B597" s="48"/>
      <c r="C597" s="48"/>
      <c r="D597" s="48"/>
      <c r="E597" s="53" t="str">
        <f>IFERROR(__xludf.DUMMYFUNCTION("""COMPUTED_VALUE"""),"Produção de declarações de participação os 20 anos do CBH Litoral")</f>
        <v>Produção de declarações de participação os 20 anos do CBH Litoral</v>
      </c>
    </row>
    <row r="598">
      <c r="A598" s="54">
        <f>IFERROR(__xludf.DUMMYFUNCTION("""COMPUTED_VALUE"""),46149.0)</f>
        <v>46149</v>
      </c>
      <c r="B598" s="48"/>
      <c r="C598" s="48"/>
      <c r="D598" s="48"/>
      <c r="E598" s="53" t="str">
        <f>IFERROR(__xludf.DUMMYFUNCTION("""COMPUTED_VALUE"""),"Lançamento de notas fiscais no Protheus ")</f>
        <v>Lançamento de notas fiscais no Protheus </v>
      </c>
    </row>
    <row r="599">
      <c r="A599" s="54">
        <f>IFERROR(__xludf.DUMMYFUNCTION("""COMPUTED_VALUE"""),46150.0)</f>
        <v>46150</v>
      </c>
      <c r="B599" s="48"/>
      <c r="C599" s="48"/>
      <c r="D599" s="48"/>
      <c r="E599" s="53" t="str">
        <f>IFERROR(__xludf.DUMMYFUNCTION("""COMPUTED_VALUE"""),"Gravação de vídeo sobre o Dia do Pescador ")</f>
        <v>Gravação de vídeo sobre o Dia do Pescador </v>
      </c>
    </row>
    <row r="600">
      <c r="A600" s="54">
        <f>IFERROR(__xludf.DUMMYFUNCTION("""COMPUTED_VALUE"""),46150.0)</f>
        <v>46150</v>
      </c>
      <c r="B600" s="48"/>
      <c r="C600" s="48"/>
      <c r="D600" s="48"/>
      <c r="E600" s="53" t="str">
        <f>IFERROR(__xludf.DUMMYFUNCTION("""COMPUTED_VALUE"""),"Organizar documentos para as mobilizações da junta eleitoral e da 37ª Reunião Extraordinária")</f>
        <v>Organizar documentos para as mobilizações da junta eleitoral e da 37ª Reunião Extraordinária</v>
      </c>
    </row>
    <row r="601">
      <c r="A601" s="54">
        <f>IFERROR(__xludf.DUMMYFUNCTION("""COMPUTED_VALUE"""),46150.0)</f>
        <v>46150</v>
      </c>
      <c r="B601" s="48"/>
      <c r="C601" s="48"/>
      <c r="D601" s="48"/>
      <c r="E601" s="53" t="str">
        <f>IFERROR(__xludf.DUMMYFUNCTION("""COMPUTED_VALUE"""),"Mobilização para a 2ª Oficina do Plano de Secas do Hidrossistema Poço Verde")</f>
        <v>Mobilização para a 2ª Oficina do Plano de Secas do Hidrossistema Poço Verde</v>
      </c>
    </row>
    <row r="602">
      <c r="A602" s="54">
        <f>IFERROR(__xludf.DUMMYFUNCTION("""COMPUTED_VALUE"""),46150.0)</f>
        <v>46150</v>
      </c>
      <c r="B602" s="48"/>
      <c r="C602" s="48"/>
      <c r="D602" s="48"/>
      <c r="E602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603">
      <c r="A603" s="54">
        <f>IFERROR(__xludf.DUMMYFUNCTION("""COMPUTED_VALUE"""),46150.0)</f>
        <v>46150</v>
      </c>
      <c r="B603" s="48"/>
      <c r="C603" s="48"/>
      <c r="D603" s="48"/>
      <c r="E603" s="53" t="str">
        <f>IFERROR(__xludf.DUMMYFUNCTION("""COMPUTED_VALUE"""),"Atualização da planilha da Gestão Participativa e da Gerência Regional com atividades programadas da semana")</f>
        <v>Atualização da planilha da Gestão Participativa e da Gerência Regional com atividades programadas da semana</v>
      </c>
    </row>
    <row r="604">
      <c r="A604" s="54">
        <f>IFERROR(__xludf.DUMMYFUNCTION("""COMPUTED_VALUE"""),46150.0)</f>
        <v>46150</v>
      </c>
      <c r="B604" s="48"/>
      <c r="C604" s="48"/>
      <c r="D604" s="48"/>
      <c r="E604" s="53" t="str">
        <f>IFERROR(__xludf.DUMMYFUNCTION("""COMPUTED_VALUE"""),"Faturamento (Atualizar dados do faturamento no sistema)")</f>
        <v>Faturamento (Atualizar dados do faturamento no sistema)</v>
      </c>
    </row>
    <row r="605">
      <c r="A605" s="54">
        <f>IFERROR(__xludf.DUMMYFUNCTION("""COMPUTED_VALUE"""),46150.0)</f>
        <v>46150</v>
      </c>
      <c r="B605" s="48"/>
      <c r="C605" s="48"/>
      <c r="D605" s="48"/>
      <c r="E605" s="53" t="str">
        <f>IFERROR(__xludf.DUMMYFUNCTION("""COMPUTED_VALUE"""),"Produção do relatório do Indicador de Instalação e Manutenção de Medidores")</f>
        <v>Produção do relatório do Indicador de Instalação e Manutenção de Medidores</v>
      </c>
    </row>
    <row r="606">
      <c r="A606" s="54">
        <f>IFERROR(__xludf.DUMMYFUNCTION("""COMPUTED_VALUE"""),46150.0)</f>
        <v>46150</v>
      </c>
      <c r="B606" s="48"/>
      <c r="C606" s="48"/>
      <c r="D606" s="48"/>
      <c r="E606" s="53" t="str">
        <f>IFERROR(__xludf.DUMMYFUNCTION("""COMPUTED_VALUE"""),"Atualização dos dados de Captação e Perenização no SIGERH")</f>
        <v>Atualização dos dados de Captação e Perenização no SIGERH</v>
      </c>
    </row>
    <row r="607">
      <c r="A607" s="54">
        <f>IFERROR(__xludf.DUMMYFUNCTION("""COMPUTED_VALUE"""),46150.0)</f>
        <v>46150</v>
      </c>
      <c r="B607" s="48"/>
      <c r="C607" s="48"/>
      <c r="D607" s="48"/>
      <c r="E607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608">
      <c r="A608" s="54">
        <f>IFERROR(__xludf.DUMMYFUNCTION("""COMPUTED_VALUE"""),46150.0)</f>
        <v>46150</v>
      </c>
      <c r="B608" s="48"/>
      <c r="C608" s="48"/>
      <c r="D608" s="48"/>
      <c r="E608" s="53" t="str">
        <f>IFERROR(__xludf.DUMMYFUNCTION("""COMPUTED_VALUE"""),"Preenchimento de gestão  de frota ")</f>
        <v>Preenchimento de gestão  de frota </v>
      </c>
    </row>
    <row r="609">
      <c r="A609" s="54">
        <f>IFERROR(__xludf.DUMMYFUNCTION("""COMPUTED_VALUE"""),46151.0)</f>
        <v>46151</v>
      </c>
      <c r="B609" s="48"/>
      <c r="C609" s="48"/>
      <c r="D609" s="48"/>
      <c r="E609" s="53" t="str">
        <f>IFERROR(__xludf.DUMMYFUNCTION("""COMPUTED_VALUE"""),"Plubicar Story de Aniversário da Aparecida Aragão (STRAAAF Sobral)")</f>
        <v>Plubicar Story de Aniversário da Aparecida Aragão (STRAAAF Sobral)</v>
      </c>
    </row>
    <row r="610">
      <c r="A610" s="54">
        <f>IFERROR(__xludf.DUMMYFUNCTION("""COMPUTED_VALUE"""),46152.0)</f>
        <v>46152</v>
      </c>
      <c r="B610" s="48"/>
      <c r="C610" s="48"/>
      <c r="D610" s="48"/>
      <c r="E610" s="53" t="str">
        <f>IFERROR(__xludf.DUMMYFUNCTION("""COMPUTED_VALUE"""),"Publicação de reels sobre o Dia das Mães")</f>
        <v>Publicação de reels sobre o Dia das Mães</v>
      </c>
    </row>
    <row r="611">
      <c r="A611" s="54">
        <f>IFERROR(__xludf.DUMMYFUNCTION("""COMPUTED_VALUE"""),46153.0)</f>
        <v>46153</v>
      </c>
      <c r="B611" s="48"/>
      <c r="C611" s="48"/>
      <c r="D611" s="48"/>
      <c r="E611" s="53" t="str">
        <f>IFERROR(__xludf.DUMMYFUNCTION("""COMPUTED_VALUE"""),"Edição de vídeo sobre o Dia do Trabalhador Rural ")</f>
        <v>Edição de vídeo sobre o Dia do Trabalhador Rural </v>
      </c>
    </row>
    <row r="612">
      <c r="A612" s="54">
        <f>IFERROR(__xludf.DUMMYFUNCTION("""COMPUTED_VALUE"""),46153.0)</f>
        <v>46153</v>
      </c>
      <c r="B612" s="48"/>
      <c r="C612" s="48"/>
      <c r="D612" s="48"/>
      <c r="E612" s="53" t="str">
        <f>IFERROR(__xludf.DUMMYFUNCTION("""COMPUTED_VALUE"""),"Reunião da CIPA às 14h30 ")</f>
        <v>Reunião da CIPA às 14h30 </v>
      </c>
    </row>
    <row r="613">
      <c r="A613" s="54">
        <f>IFERROR(__xludf.DUMMYFUNCTION("""COMPUTED_VALUE"""),46153.0)</f>
        <v>46153</v>
      </c>
      <c r="B613" s="48"/>
      <c r="C613" s="48"/>
      <c r="D613" s="48"/>
      <c r="E613" s="53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4">
      <c r="A614" s="54">
        <f>IFERROR(__xludf.DUMMYFUNCTION("""COMPUTED_VALUE"""),46153.0)</f>
        <v>46153</v>
      </c>
      <c r="B614" s="48"/>
      <c r="C614" s="48"/>
      <c r="D614" s="48"/>
      <c r="E614" s="53" t="str">
        <f>IFERROR(__xludf.DUMMYFUNCTION("""COMPUTED_VALUE"""),"Faturamento (Atualizar dados do faturamento no sistema)")</f>
        <v>Faturamento (Atualizar dados do faturamento no sistema)</v>
      </c>
    </row>
    <row r="615">
      <c r="A615" s="54">
        <f>IFERROR(__xludf.DUMMYFUNCTION("""COMPUTED_VALUE"""),46153.0)</f>
        <v>46153</v>
      </c>
      <c r="B615" s="48"/>
      <c r="C615" s="48"/>
      <c r="D615" s="48"/>
      <c r="E615" s="53" t="str">
        <f>IFERROR(__xludf.DUMMYFUNCTION("""COMPUTED_VALUE"""),"Calibração da Sonda para as Coletas")</f>
        <v>Calibração da Sonda para as Coletas</v>
      </c>
    </row>
    <row r="616">
      <c r="A616" s="54">
        <f>IFERROR(__xludf.DUMMYFUNCTION("""COMPUTED_VALUE"""),46153.0)</f>
        <v>46153</v>
      </c>
      <c r="B616" s="48"/>
      <c r="C616" s="48"/>
      <c r="D616" s="48"/>
      <c r="E616" s="53" t="str">
        <f>IFERROR(__xludf.DUMMYFUNCTION("""COMPUTED_VALUE"""),"Inserção de diarias ")</f>
        <v>Inserção de diarias </v>
      </c>
    </row>
    <row r="617">
      <c r="A617" s="55">
        <f>IFERROR(__xludf.DUMMYFUNCTION("""COMPUTED_VALUE"""),46154.0)</f>
        <v>46154</v>
      </c>
      <c r="B617" s="48"/>
      <c r="C617" s="48"/>
      <c r="D617" s="48"/>
      <c r="E617" s="53" t="str">
        <f>IFERROR(__xludf.DUMMYFUNCTION("""COMPUTED_VALUE"""),"Publicar reels sobre o aniversário de emancipação do município de Miraíma")</f>
        <v>Publicar reels sobre o aniversário de emancipação do município de Miraíma</v>
      </c>
    </row>
    <row r="618">
      <c r="A618" s="54">
        <f>IFERROR(__xludf.DUMMYFUNCTION("""COMPUTED_VALUE"""),46154.0)</f>
        <v>46154</v>
      </c>
      <c r="B618" s="48"/>
      <c r="C618" s="48"/>
      <c r="D618" s="48"/>
      <c r="E618" s="53" t="str">
        <f>IFERROR(__xludf.DUMMYFUNCTION("""COMPUTED_VALUE""")," Gravação de vídeo sobre o Dia Nacional da Educação Ambiental")</f>
        <v> Gravação de vídeo sobre o Dia Nacional da Educação Ambiental</v>
      </c>
    </row>
    <row r="619">
      <c r="A619" s="54">
        <f>IFERROR(__xludf.DUMMYFUNCTION("""COMPUTED_VALUE"""),46154.0)</f>
        <v>46154</v>
      </c>
      <c r="B619" s="48"/>
      <c r="C619" s="48"/>
      <c r="D619" s="48"/>
      <c r="E619" s="53" t="str">
        <f>IFERROR(__xludf.DUMMYFUNCTION("""COMPUTED_VALUE"""),"Coleta para Análise Qualitativa da Água (Patos e Santo Antônio) e Medição de Vazão nas captações dos açudes Patos e Santo Antonio de Aracatiaçu")</f>
        <v>Coleta para Análise Qualitativa da Água (Patos e Santo Antônio) e Medição de Vazão nas captações dos açudes Patos e Santo Antonio de Aracatiaçu</v>
      </c>
    </row>
    <row r="620">
      <c r="A620" s="54">
        <f>IFERROR(__xludf.DUMMYFUNCTION("""COMPUTED_VALUE"""),46154.0)</f>
        <v>46154</v>
      </c>
      <c r="B620" s="48"/>
      <c r="C620" s="48"/>
      <c r="D620" s="48"/>
      <c r="E620" s="53" t="str">
        <f>IFERROR(__xludf.DUMMYFUNCTION("""COMPUTED_VALUE"""),"Inserir dados das Coletas no SIGERH")</f>
        <v>Inserir dados das Coletas no SIGERH</v>
      </c>
    </row>
    <row r="621">
      <c r="A621" s="54">
        <f>IFERROR(__xludf.DUMMYFUNCTION("""COMPUTED_VALUE"""),46155.0)</f>
        <v>46155</v>
      </c>
      <c r="B621" s="48"/>
      <c r="C621" s="48"/>
      <c r="D621" s="48"/>
      <c r="E621" s="53" t="str">
        <f>IFERROR(__xludf.DUMMYFUNCTION("""COMPUTED_VALUE"""),"Mobilização para 37ª Reunião Extraordinária")</f>
        <v>Mobilização para 37ª Reunião Extraordinária</v>
      </c>
    </row>
    <row r="622">
      <c r="A622" s="54">
        <f>IFERROR(__xludf.DUMMYFUNCTION("""COMPUTED_VALUE"""),46155.0)</f>
        <v>46155</v>
      </c>
      <c r="B622" s="48"/>
      <c r="C622" s="48"/>
      <c r="D622" s="48"/>
      <c r="E622" s="53" t="str">
        <f>IFERROR(__xludf.DUMMYFUNCTION("""COMPUTED_VALUE"""),"Gravação de vídeo sobre o Dia do Meio Ambiente e da Ecologia ")</f>
        <v>Gravação de vídeo sobre o Dia do Meio Ambiente e da Ecologia </v>
      </c>
    </row>
    <row r="623">
      <c r="A623" s="54">
        <f>IFERROR(__xludf.DUMMYFUNCTION("""COMPUTED_VALUE"""),46155.0)</f>
        <v>46155</v>
      </c>
      <c r="B623" s="48"/>
      <c r="C623" s="48"/>
      <c r="D623" s="48"/>
      <c r="E623" s="53" t="str">
        <f>IFERROR(__xludf.DUMMYFUNCTION("""COMPUTED_VALUE"""),"Realizar prestação de conta de diarias ")</f>
        <v>Realizar prestação de conta de diarias </v>
      </c>
    </row>
    <row r="624">
      <c r="A624" s="54">
        <f>IFERROR(__xludf.DUMMYFUNCTION("""COMPUTED_VALUE"""),46155.0)</f>
        <v>46155</v>
      </c>
      <c r="B624" s="48"/>
      <c r="C624" s="48"/>
      <c r="D624" s="48"/>
      <c r="E624" s="53" t="str">
        <f>IFERROR(__xludf.DUMMYFUNCTION("""COMPUTED_VALUE"""),"Campanha de captação de novos usuários")</f>
        <v>Campanha de captação de novos usuários</v>
      </c>
    </row>
    <row r="625">
      <c r="A625" s="54">
        <f>IFERROR(__xludf.DUMMYFUNCTION("""COMPUTED_VALUE"""),46155.0)</f>
        <v>46155</v>
      </c>
      <c r="B625" s="48"/>
      <c r="C625" s="48"/>
      <c r="D625" s="48"/>
      <c r="E625" s="53" t="str">
        <f>IFERROR(__xludf.DUMMYFUNCTION("""COMPUTED_VALUE"""),"CAMPANHA DE ACOMPANHAMENTO - PROJETO DE ESTUDO DO AQUIFERO - ITAREMA/ACARAU")</f>
        <v>CAMPANHA DE ACOMPANHAMENTO - PROJETO DE ESTUDO DO AQUIFERO - ITAREMA/ACARAU</v>
      </c>
    </row>
    <row r="626">
      <c r="A626" s="54">
        <f>IFERROR(__xludf.DUMMYFUNCTION("""COMPUTED_VALUE"""),46156.0)</f>
        <v>46156</v>
      </c>
      <c r="B626" s="48"/>
      <c r="C626" s="48"/>
      <c r="D626" s="48"/>
      <c r="E626" s="53" t="str">
        <f>IFERROR(__xludf.DUMMYFUNCTION("""COMPUTED_VALUE"""),"Edição de vídeo sobre o Dia do Combate a Desertificação e à Seca")</f>
        <v>Edição de vídeo sobre o Dia do Combate a Desertificação e à Seca</v>
      </c>
    </row>
    <row r="627">
      <c r="A627" s="54">
        <f>IFERROR(__xludf.DUMMYFUNCTION("""COMPUTED_VALUE"""),46156.0)</f>
        <v>46156</v>
      </c>
      <c r="B627" s="48"/>
      <c r="C627" s="48"/>
      <c r="D627" s="48"/>
      <c r="E627" s="53" t="str">
        <f>IFERROR(__xludf.DUMMYFUNCTION("""COMPUTED_VALUE"""),"Campanha de captação de novos usuários / Visitas de regularização 
de usários inadimplentes")</f>
        <v>Campanha de captação de novos usuários / Visitas de regularização 
de usários inadimplentes</v>
      </c>
    </row>
    <row r="628">
      <c r="A628" s="54">
        <f>IFERROR(__xludf.DUMMYFUNCTION("""COMPUTED_VALUE"""),46156.0)</f>
        <v>46156</v>
      </c>
      <c r="B628" s="48"/>
      <c r="C628" s="48"/>
      <c r="D628" s="48"/>
      <c r="E628" s="53" t="str">
        <f>IFERROR(__xludf.DUMMYFUNCTION("""COMPUTED_VALUE"""),"Lançamento de notas fiscais no Protheus ")</f>
        <v>Lançamento de notas fiscais no Protheus </v>
      </c>
    </row>
    <row r="629">
      <c r="A629" s="54">
        <f>IFERROR(__xludf.DUMMYFUNCTION("""COMPUTED_VALUE"""),46126.0)</f>
        <v>46126</v>
      </c>
      <c r="B629" s="48"/>
      <c r="C629" s="48"/>
      <c r="D629" s="48"/>
      <c r="E629" s="53" t="str">
        <f>IFERROR(__xludf.DUMMYFUNCTION("""COMPUTED_VALUE"""),"Inserir dados das variações de consumo na planilha")</f>
        <v>Inserir dados das variações de consumo na planilha</v>
      </c>
    </row>
    <row r="630">
      <c r="A630" s="54">
        <f>IFERROR(__xludf.DUMMYFUNCTION("""COMPUTED_VALUE"""),46156.0)</f>
        <v>46156</v>
      </c>
      <c r="B630" s="48"/>
      <c r="C630" s="48"/>
      <c r="D630" s="48"/>
      <c r="E630" s="53" t="str">
        <f>IFERROR(__xludf.DUMMYFUNCTION("""COMPUTED_VALUE"""),"CAMPANHA DE ACOMPANHAMENTO - PROJETO DE ESTUDO DO AQUIFERO - ITAREMA/ACARAU")</f>
        <v>CAMPANHA DE ACOMPANHAMENTO - PROJETO DE ESTUDO DO AQUIFERO - ITAREMA/ACARAU</v>
      </c>
    </row>
    <row r="631">
      <c r="A631" s="54">
        <f>IFERROR(__xludf.DUMMYFUNCTION("""COMPUTED_VALUE"""),46157.0)</f>
        <v>46157</v>
      </c>
      <c r="B631" s="48"/>
      <c r="C631" s="48"/>
      <c r="D631" s="48"/>
      <c r="E631" s="53" t="str">
        <f>IFERROR(__xludf.DUMMYFUNCTION("""COMPUTED_VALUE"""),"Atualização da planilha da Gestão Participativa e da Gerência Regional com atividades programadas da semana")</f>
        <v>Atualização da planilha da Gestão Participativa e da Gerência Regional com atividades programadas da semana</v>
      </c>
    </row>
    <row r="632">
      <c r="A632" s="54">
        <f>IFERROR(__xludf.DUMMYFUNCTION("""COMPUTED_VALUE"""),46157.0)</f>
        <v>46157</v>
      </c>
      <c r="B632" s="48"/>
      <c r="C632" s="48"/>
      <c r="D632" s="48"/>
      <c r="E632" s="53" t="str">
        <f>IFERROR(__xludf.DUMMYFUNCTION("""COMPUTED_VALUE"""),"Produção do relatório do Indicador de Instalação e Manutenção de Medidores")</f>
        <v>Produção do relatório do Indicador de Instalação e Manutenção de Medidores</v>
      </c>
    </row>
    <row r="633">
      <c r="A633" s="54">
        <f>IFERROR(__xludf.DUMMYFUNCTION("""COMPUTED_VALUE"""),46157.0)</f>
        <v>46157</v>
      </c>
      <c r="B633" s="48"/>
      <c r="C633" s="48"/>
      <c r="D633" s="48"/>
      <c r="E633" s="53" t="str">
        <f>IFERROR(__xludf.DUMMYFUNCTION("""COMPUTED_VALUE"""),"Enviar frascos das Coletas aos Correios")</f>
        <v>Enviar frascos das Coletas aos Correios</v>
      </c>
    </row>
    <row r="634">
      <c r="A634" s="54">
        <f>IFERROR(__xludf.DUMMYFUNCTION("""COMPUTED_VALUE"""),46157.0)</f>
        <v>46157</v>
      </c>
      <c r="B634" s="48"/>
      <c r="C634" s="48"/>
      <c r="D634" s="48"/>
      <c r="E634" s="53" t="str">
        <f>IFERROR(__xludf.DUMMYFUNCTION("""COMPUTED_VALUE"""),"Campanha de captação de novos usuários / Visitas de regularização 
de usários inadimplentes")</f>
        <v>Campanha de captação de novos usuários / Visitas de regularização 
de usários inadimplentes</v>
      </c>
    </row>
    <row r="635">
      <c r="A635" s="54">
        <f>IFERROR(__xludf.DUMMYFUNCTION("""COMPUTED_VALUE"""),46157.0)</f>
        <v>46157</v>
      </c>
      <c r="B635" s="48"/>
      <c r="C635" s="48"/>
      <c r="D635" s="48"/>
      <c r="E635" s="53" t="str">
        <f>IFERROR(__xludf.DUMMYFUNCTION("""COMPUTED_VALUE"""),"Atualização dos dados de Captação e Perenização no SIGERH")</f>
        <v>Atualização dos dados de Captação e Perenização no SIGERH</v>
      </c>
    </row>
    <row r="636">
      <c r="A636" s="54">
        <f>IFERROR(__xludf.DUMMYFUNCTION("""COMPUTED_VALUE"""),46157.0)</f>
        <v>46157</v>
      </c>
      <c r="B636" s="48"/>
      <c r="C636" s="48"/>
      <c r="D636" s="48"/>
      <c r="E636" s="53" t="str">
        <f>IFERROR(__xludf.DUMMYFUNCTION("""COMPUTED_VALUE"""),"Instrumentação dos açudes Missi e Poço Verde (Piezômetros e Medidores de Vazão de Percolação)")</f>
        <v>Instrumentação dos açudes Missi e Poço Verde (Piezômetros e Medidores de Vazão de Percolação)</v>
      </c>
    </row>
    <row r="637">
      <c r="A637" s="54">
        <f>IFERROR(__xludf.DUMMYFUNCTION("""COMPUTED_VALUE"""),46157.0)</f>
        <v>46157</v>
      </c>
      <c r="B637" s="48"/>
      <c r="C637" s="48"/>
      <c r="D637" s="48"/>
      <c r="E637" s="53" t="str">
        <f>IFERROR(__xludf.DUMMYFUNCTION("""COMPUTED_VALUE"""),"Preenchimento de gestão  de frota ")</f>
        <v>Preenchimento de gestão  de frota </v>
      </c>
    </row>
    <row r="638">
      <c r="A638" s="54">
        <f>IFERROR(__xludf.DUMMYFUNCTION("""COMPUTED_VALUE"""),46157.0)</f>
        <v>46157</v>
      </c>
      <c r="B638" s="48"/>
      <c r="C638" s="48"/>
      <c r="D638" s="48"/>
      <c r="E638" s="53" t="str">
        <f>IFERROR(__xludf.DUMMYFUNCTION("""COMPUTED_VALUE"""),"CAMPANHA DE ACOMPANHAMENTO - PROJETO DE ESTUDO DO AQUIFERO - ITAREMA/ACARAU")</f>
        <v>CAMPANHA DE ACOMPANHAMENTO - PROJETO DE ESTUDO DO AQUIFERO - ITAREMA/ACARAU</v>
      </c>
    </row>
    <row r="639">
      <c r="A639" s="48"/>
      <c r="B639" s="48"/>
      <c r="C639" s="48"/>
      <c r="D639" s="48"/>
      <c r="E639" s="48"/>
    </row>
    <row r="640">
      <c r="A640" s="54">
        <f>IFERROR(__xludf.DUMMYFUNCTION("""COMPUTED_VALUE"""),46158.0)</f>
        <v>46158</v>
      </c>
      <c r="B640" s="48"/>
      <c r="C640" s="48"/>
      <c r="D640" s="48"/>
      <c r="E640" s="48"/>
    </row>
    <row r="641">
      <c r="A641" s="54">
        <f>IFERROR(__xludf.DUMMYFUNCTION("""COMPUTED_VALUE"""),46159.0)</f>
        <v>46159</v>
      </c>
      <c r="B641" s="48"/>
      <c r="C641" s="48"/>
      <c r="D641" s="48"/>
      <c r="E641" s="53" t="str">
        <f>IFERROR(__xludf.DUMMYFUNCTION("""COMPUTED_VALUE"""),"Publicar Story do Dia Mundial da Riciclagem")</f>
        <v>Publicar Story do Dia Mundial da Riciclagem</v>
      </c>
    </row>
    <row r="642">
      <c r="A642" s="54">
        <f>IFERROR(__xludf.DUMMYFUNCTION("""COMPUTED_VALUE"""),46160.0)</f>
        <v>46160</v>
      </c>
      <c r="B642" s="48"/>
      <c r="C642" s="48"/>
      <c r="D642" s="48"/>
      <c r="E642" s="53" t="str">
        <f>IFERROR(__xludf.DUMMYFUNCTION("""COMPUTED_VALUE"""),"Confirmação de presença 2ª Oficina do Plano de Secas do Hidrossistema Poço Verde")</f>
        <v>Confirmação de presença 2ª Oficina do Plano de Secas do Hidrossistema Poço Verde</v>
      </c>
    </row>
    <row r="643">
      <c r="A643" s="48"/>
      <c r="B643" s="48"/>
      <c r="C643" s="48"/>
      <c r="D643" s="48"/>
      <c r="E643" s="48"/>
    </row>
    <row r="644">
      <c r="A644" s="54">
        <f>IFERROR(__xludf.DUMMYFUNCTION("""COMPUTED_VALUE"""),46160.0)</f>
        <v>46160</v>
      </c>
      <c r="B644" s="48"/>
      <c r="C644" s="48"/>
      <c r="D644" s="48"/>
      <c r="E644" s="53" t="str">
        <f>IFERROR(__xludf.DUMMYFUNCTION("""COMPUTED_VALUE"""),"Mobilização para reunião da junta eleitoral")</f>
        <v>Mobilização para reunião da junta eleitoral</v>
      </c>
    </row>
    <row r="645">
      <c r="A645" s="54">
        <f>IFERROR(__xludf.DUMMYFUNCTION("""COMPUTED_VALUE"""),46160.0)</f>
        <v>46160</v>
      </c>
      <c r="B645" s="48"/>
      <c r="C645" s="48"/>
      <c r="D645" s="48"/>
      <c r="E645" s="53" t="str">
        <f>IFERROR(__xludf.DUMMYFUNCTION("""COMPUTED_VALUE"""),"20ª Reunião da Brigada de Emergência às 14h")</f>
        <v>20ª Reunião da Brigada de Emergência às 14h</v>
      </c>
    </row>
    <row r="646">
      <c r="A646" s="54">
        <f>IFERROR(__xludf.DUMMYFUNCTION("""COMPUTED_VALUE"""),46160.0)</f>
        <v>46160</v>
      </c>
      <c r="B646" s="48"/>
      <c r="C646" s="48"/>
      <c r="D646" s="48"/>
      <c r="E646" s="53" t="str">
        <f>IFERROR(__xludf.DUMMYFUNCTION("""COMPUTED_VALUE"""),"Organização de documentos para a 2ª Oficina do Plano de Secas do Hidrossistema Poço Verde ")</f>
        <v>Organização de documentos para a 2ª Oficina do Plano de Secas do Hidrossistema Poço Verde </v>
      </c>
    </row>
    <row r="647">
      <c r="A647" s="54">
        <f>IFERROR(__xludf.DUMMYFUNCTION("""COMPUTED_VALUE"""),46160.0)</f>
        <v>46160</v>
      </c>
      <c r="B647" s="48"/>
      <c r="C647" s="48"/>
      <c r="D647" s="48"/>
      <c r="E647" s="53" t="str">
        <f>IFERROR(__xludf.DUMMYFUNCTION("""COMPUTED_VALUE"""),"Inserção de diarias ")</f>
        <v>Inserção de diarias </v>
      </c>
    </row>
    <row r="648">
      <c r="A648" s="54">
        <f>IFERROR(__xludf.DUMMYFUNCTION("""COMPUTED_VALUE"""),46160.0)</f>
        <v>46160</v>
      </c>
      <c r="B648" s="48"/>
      <c r="C648" s="48"/>
      <c r="D648" s="48"/>
      <c r="E648" s="53" t="str">
        <f>IFERROR(__xludf.DUMMYFUNCTION("""COMPUTED_VALUE"""),"Atualização da planilha do indicador de Fiscalizações e Produção de relatórios de Vistoria em Usuários")</f>
        <v>Atualização da planilha do indicador de Fiscalizações e Produção de relatórios de Vistoria em Usuários</v>
      </c>
    </row>
    <row r="649">
      <c r="A649" s="54">
        <f>IFERROR(__xludf.DUMMYFUNCTION("""COMPUTED_VALUE"""),46161.0)</f>
        <v>46161</v>
      </c>
      <c r="B649" s="48"/>
      <c r="C649" s="48"/>
      <c r="D649" s="48"/>
      <c r="E649" s="53" t="str">
        <f>IFERROR(__xludf.DUMMYFUNCTION("""COMPUTED_VALUE"""),"2ª Oficina do Plano de Secas do Hidrossistema Poço Verde ")</f>
        <v>2ª Oficina do Plano de Secas do Hidrossistema Poço Verde </v>
      </c>
    </row>
    <row r="650">
      <c r="A650" s="54">
        <f>IFERROR(__xludf.DUMMYFUNCTION("""COMPUTED_VALUE"""),46160.0)</f>
        <v>46160</v>
      </c>
      <c r="B650" s="48"/>
      <c r="C650" s="48"/>
      <c r="D650" s="48"/>
      <c r="E650" s="53" t="str">
        <f>IFERROR(__xludf.DUMMYFUNCTION("""COMPUTED_VALUE"""),"Acompanhamento das equipes no levantamento sobre qualidade da água e localização de poços na região de Acaraú e Itarema")</f>
        <v>Acompanhamento das equipes no levantamento sobre qualidade da água e localização de poços na região de Acaraú e Itarema</v>
      </c>
    </row>
    <row r="651">
      <c r="A651" s="54">
        <f>IFERROR(__xludf.DUMMYFUNCTION("""COMPUTED_VALUE"""),46161.0)</f>
        <v>46161</v>
      </c>
      <c r="B651" s="48"/>
      <c r="C651" s="48"/>
      <c r="D651" s="48"/>
      <c r="E651" s="53" t="str">
        <f>IFERROR(__xludf.DUMMYFUNCTION("""COMPUTED_VALUE"""),"Apoio logístico para Wellington participar de uma reunião no DNOCS")</f>
        <v>Apoio logístico para Wellington participar de uma reunião no DNOCS</v>
      </c>
    </row>
    <row r="652">
      <c r="A652" s="54">
        <f>IFERROR(__xludf.DUMMYFUNCTION("""COMPUTED_VALUE"""),46161.0)</f>
        <v>46161</v>
      </c>
      <c r="B652" s="48"/>
      <c r="C652" s="48"/>
      <c r="D652" s="48"/>
      <c r="E652" s="53" t="str">
        <f>IFERROR(__xludf.DUMMYFUNCTION("""COMPUTED_VALUE"""),"Publicação de matéria sobre a 2ª Oficina do Plano de Secas do Hidrossistema Poço Verde ")</f>
        <v>Publicação de matéria sobre a 2ª Oficina do Plano de Secas do Hidrossistema Poço Verde </v>
      </c>
    </row>
    <row r="653">
      <c r="A653" s="54">
        <f>IFERROR(__xludf.DUMMYFUNCTION("""COMPUTED_VALUE"""),46161.0)</f>
        <v>46161</v>
      </c>
      <c r="B653" s="48"/>
      <c r="C653" s="48"/>
      <c r="D653" s="48"/>
      <c r="E653" s="53" t="str">
        <f>IFERROR(__xludf.DUMMYFUNCTION("""COMPUTED_VALUE"""),"Produção de relatório de Parecer Técnico sobre a 2ª Oficina do Plano de Secas do Hidrossistema Poço Verde")</f>
        <v>Produção de relatório de Parecer Técnico sobre a 2ª Oficina do Plano de Secas do Hidrossistema Poço Verde</v>
      </c>
    </row>
    <row r="654">
      <c r="A654" s="54">
        <f>IFERROR(__xludf.DUMMYFUNCTION("""COMPUTED_VALUE"""),46161.0)</f>
        <v>46161</v>
      </c>
      <c r="B654" s="48"/>
      <c r="C654" s="48"/>
      <c r="D654" s="48"/>
      <c r="E654" s="53" t="str">
        <f>IFERROR(__xludf.DUMMYFUNCTION("""COMPUTED_VALUE"""),"Lançamento de notas fiscais no Protheus ")</f>
        <v>Lançamento de notas fiscais no Protheus </v>
      </c>
    </row>
    <row r="655">
      <c r="A655" s="54">
        <f>IFERROR(__xludf.DUMMYFUNCTION("""COMPUTED_VALUE"""),46161.0)</f>
        <v>46161</v>
      </c>
      <c r="B655" s="48"/>
      <c r="C655" s="48"/>
      <c r="D655" s="48"/>
      <c r="E655" s="53" t="str">
        <f>IFERROR(__xludf.DUMMYFUNCTION("""COMPUTED_VALUE"""),"Conferência de estoque")</f>
        <v>Conferência de estoque</v>
      </c>
    </row>
    <row r="656">
      <c r="A656" s="54">
        <f>IFERROR(__xludf.DUMMYFUNCTION("""COMPUTED_VALUE"""),46161.0)</f>
        <v>46161</v>
      </c>
      <c r="B656" s="48"/>
      <c r="C656" s="48"/>
      <c r="D656" s="48"/>
      <c r="E656" s="53" t="str">
        <f>IFERROR(__xludf.DUMMYFUNCTION("""COMPUTED_VALUE"""),"Acompanhamento das equipes no levantamento sobre qualidade da água e localização de poços na região de Acaraú e Itarema")</f>
        <v>Acompanhamento das equipes no levantamento sobre qualidade da água e localização de poços na região de Acaraú e Itarema</v>
      </c>
    </row>
    <row r="657">
      <c r="A657" s="54">
        <f>IFERROR(__xludf.DUMMYFUNCTION("""COMPUTED_VALUE"""),46162.0)</f>
        <v>46162</v>
      </c>
      <c r="B657" s="48"/>
      <c r="C657" s="48"/>
      <c r="D657" s="48"/>
      <c r="E657" s="53" t="str">
        <f>IFERROR(__xludf.DUMMYFUNCTION("""COMPUTED_VALUE"""),"Publicar story do aniversário de Arnaldo Soares – Prefeitura Municipal de Amontada ")</f>
        <v>Publicar story do aniversário de Arnaldo Soares – Prefeitura Municipal de Amontada </v>
      </c>
    </row>
    <row r="658">
      <c r="A658" s="54">
        <f>IFERROR(__xludf.DUMMYFUNCTION("""COMPUTED_VALUE"""),46162.0)</f>
        <v>46162</v>
      </c>
      <c r="B658" s="48"/>
      <c r="C658" s="48"/>
      <c r="D658" s="48"/>
      <c r="E658" s="53" t="str">
        <f>IFERROR(__xludf.DUMMYFUNCTION("""COMPUTED_VALUE"""),"Publicar reels sobre o aniversário de emancipação do município de Irauçuba")</f>
        <v>Publicar reels sobre o aniversário de emancipação do município de Irauçuba</v>
      </c>
    </row>
    <row r="659">
      <c r="A659" s="54">
        <f>IFERROR(__xludf.DUMMYFUNCTION("""COMPUTED_VALUE"""),46162.0)</f>
        <v>46162</v>
      </c>
      <c r="B659" s="48"/>
      <c r="C659" s="48"/>
      <c r="D659" s="48"/>
      <c r="E659" s="53" t="str">
        <f>IFERROR(__xludf.DUMMYFUNCTION("""COMPUTED_VALUE"""),"Realizar prestação de conta de diarias ")</f>
        <v>Realizar prestação de conta de diarias </v>
      </c>
    </row>
    <row r="660">
      <c r="A660" s="54">
        <f>IFERROR(__xludf.DUMMYFUNCTION("""COMPUTED_VALUE"""),46162.0)</f>
        <v>46162</v>
      </c>
      <c r="B660" s="48"/>
      <c r="C660" s="48"/>
      <c r="D660" s="48"/>
      <c r="E660" s="53" t="str">
        <f>IFERROR(__xludf.DUMMYFUNCTION("""COMPUTED_VALUE"""),"Ida a fortaleza para renovação do certificado digital, na GETIN")</f>
        <v>Ida a fortaleza para renovação do certificado digital, na GETIN</v>
      </c>
    </row>
    <row r="661">
      <c r="A661" s="54">
        <f>IFERROR(__xludf.DUMMYFUNCTION("""COMPUTED_VALUE"""),46163.0)</f>
        <v>46163</v>
      </c>
      <c r="B661" s="48"/>
      <c r="C661" s="48"/>
      <c r="D661" s="48"/>
      <c r="E661" s="53" t="str">
        <f>IFERROR(__xludf.DUMMYFUNCTION("""COMPUTED_VALUE"""),"Incluir programação de junho no drive da Gerência Regional ")</f>
        <v>Incluir programação de junho no drive da Gerência Regional </v>
      </c>
    </row>
    <row r="662">
      <c r="A662" s="54">
        <f>IFERROR(__xludf.DUMMYFUNCTION("""COMPUTED_VALUE"""),46163.0)</f>
        <v>46163</v>
      </c>
      <c r="B662" s="48"/>
      <c r="C662" s="48"/>
      <c r="D662" s="48"/>
      <c r="E662" s="53" t="str">
        <f>IFERROR(__xludf.DUMMYFUNCTION("""COMPUTED_VALUE"""),"Incluir programação de junho no drive da Gestão Participativa")</f>
        <v>Incluir programação de junho no drive da Gestão Participativa</v>
      </c>
    </row>
    <row r="663">
      <c r="A663" s="54">
        <f>IFERROR(__xludf.DUMMYFUNCTION("""COMPUTED_VALUE"""),46164.0)</f>
        <v>46164</v>
      </c>
      <c r="B663" s="48"/>
      <c r="C663" s="48"/>
      <c r="D663" s="48"/>
      <c r="E663" s="53" t="str">
        <f>IFERROR(__xludf.DUMMYFUNCTION("""COMPUTED_VALUE"""),"Publicação de reels sobre o Dia Internacional da Biodiversidade")</f>
        <v>Publicação de reels sobre o Dia Internacional da Biodiversidade</v>
      </c>
    </row>
    <row r="664">
      <c r="A664" s="54">
        <f>IFERROR(__xludf.DUMMYFUNCTION("""COMPUTED_VALUE"""),46164.0)</f>
        <v>46164</v>
      </c>
      <c r="B664" s="48"/>
      <c r="C664" s="48"/>
      <c r="D664" s="48"/>
      <c r="E664" s="53" t="str">
        <f>IFERROR(__xludf.DUMMYFUNCTION("""COMPUTED_VALUE"""),"Atualização da planilha da Gerência Regional e Gestão Participativa com atividades programadas da semana")</f>
        <v>Atualização da planilha da Gerência Regional e Gestão Participativa com atividades programadas da semana</v>
      </c>
    </row>
    <row r="665">
      <c r="A665" s="54">
        <f>IFERROR(__xludf.DUMMYFUNCTION("""COMPUTED_VALUE"""),46164.0)</f>
        <v>46164</v>
      </c>
      <c r="B665" s="48"/>
      <c r="C665" s="48"/>
      <c r="D665" s="48"/>
      <c r="E665" s="53" t="str">
        <f>IFERROR(__xludf.DUMMYFUNCTION("""COMPUTED_VALUE"""),"Atualização dos dados de Captação e Perenização no SIGERH")</f>
        <v>Atualização dos dados de Captação e Perenização no SIGERH</v>
      </c>
    </row>
    <row r="666">
      <c r="A666" s="54">
        <f>IFERROR(__xludf.DUMMYFUNCTION("""COMPUTED_VALUE"""),46164.0)</f>
        <v>46164</v>
      </c>
      <c r="B666" s="48"/>
      <c r="C666" s="48"/>
      <c r="D666" s="48"/>
      <c r="E666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667">
      <c r="A667" s="54">
        <f>IFERROR(__xludf.DUMMYFUNCTION("""COMPUTED_VALUE"""),46164.0)</f>
        <v>46164</v>
      </c>
      <c r="B667" s="48"/>
      <c r="C667" s="48"/>
      <c r="D667" s="48"/>
      <c r="E667" s="53" t="str">
        <f>IFERROR(__xludf.DUMMYFUNCTION("""COMPUTED_VALUE"""),"Visita Técnica, verificação de correção de anomalias e Medição de Vazão nas captações nos açudes Missi e São Pedro da Timbaúba")</f>
        <v>Visita Técnica, verificação de correção de anomalias e Medição de Vazão nas captações nos açudes Missi e São Pedro da Timbaúba</v>
      </c>
    </row>
    <row r="668">
      <c r="A668" s="54">
        <f>IFERROR(__xludf.DUMMYFUNCTION("""COMPUTED_VALUE"""),46164.0)</f>
        <v>46164</v>
      </c>
      <c r="B668" s="48"/>
      <c r="C668" s="48"/>
      <c r="D668" s="48"/>
      <c r="E668" s="53" t="str">
        <f>IFERROR(__xludf.DUMMYFUNCTION("""COMPUTED_VALUE"""),"Preenchimento de gestão de frota (acompanhamento de diárias)")</f>
        <v>Preenchimento de gestão de frota (acompanhamento de diárias)</v>
      </c>
    </row>
    <row r="669">
      <c r="A669" s="54">
        <f>IFERROR(__xludf.DUMMYFUNCTION("""COMPUTED_VALUE"""),46134.0)</f>
        <v>46134</v>
      </c>
      <c r="B669" s="48"/>
      <c r="C669" s="48"/>
      <c r="D669" s="48"/>
      <c r="E669" s="53" t="str">
        <f>IFERROR(__xludf.DUMMYFUNCTION("""COMPUTED_VALUE"""),"Inserir consumo das CAGECEs na planilha")</f>
        <v>Inserir consumo das CAGECEs na planilha</v>
      </c>
    </row>
    <row r="670">
      <c r="A670" s="54">
        <f>IFERROR(__xludf.DUMMYFUNCTION("""COMPUTED_VALUE"""),46134.0)</f>
        <v>46134</v>
      </c>
      <c r="B670" s="48"/>
      <c r="C670" s="48"/>
      <c r="D670" s="48"/>
      <c r="E670" s="53" t="str">
        <f>IFERROR(__xludf.DUMMYFUNCTION("""COMPUTED_VALUE"""),"PRESTAÇÃO DE CONTAS")</f>
        <v>PRESTAÇÃO DE CONTAS</v>
      </c>
    </row>
    <row r="671">
      <c r="A671" s="54">
        <f>IFERROR(__xludf.DUMMYFUNCTION("""COMPUTED_VALUE"""),46165.0)</f>
        <v>46165</v>
      </c>
      <c r="B671" s="48"/>
      <c r="C671" s="48"/>
      <c r="D671" s="48"/>
      <c r="E671" s="48"/>
    </row>
    <row r="672">
      <c r="A672" s="54">
        <f>IFERROR(__xludf.DUMMYFUNCTION("""COMPUTED_VALUE"""),46166.0)</f>
        <v>46166</v>
      </c>
      <c r="B672" s="48"/>
      <c r="C672" s="48"/>
      <c r="D672" s="48"/>
      <c r="E672" s="48"/>
    </row>
    <row r="673">
      <c r="A673" s="54">
        <f>IFERROR(__xludf.DUMMYFUNCTION("""COMPUTED_VALUE"""),46167.0)</f>
        <v>46167</v>
      </c>
      <c r="B673" s="48"/>
      <c r="C673" s="48"/>
      <c r="D673" s="48"/>
      <c r="E673" s="53" t="str">
        <f>IFERROR(__xludf.DUMMYFUNCTION("""COMPUTED_VALUE"""),"Visita Técnica e verificação de correção de anomalias no açude Gameleira")</f>
        <v>Visita Técnica e verificação de correção de anomalias no açude Gameleira</v>
      </c>
    </row>
    <row r="674">
      <c r="A674" s="54">
        <f>IFERROR(__xludf.DUMMYFUNCTION("""COMPUTED_VALUE"""),46137.0)</f>
        <v>46137</v>
      </c>
      <c r="B674" s="48"/>
      <c r="C674" s="48"/>
      <c r="D674" s="48"/>
      <c r="E674" s="53" t="str">
        <f>IFERROR(__xludf.DUMMYFUNCTION("""COMPUTED_VALUE"""),"PRESTAÇÃO DE CONTAS")</f>
        <v>PRESTAÇÃO DE CONTAS</v>
      </c>
    </row>
    <row r="675">
      <c r="A675" s="54">
        <f>IFERROR(__xludf.DUMMYFUNCTION("""COMPUTED_VALUE"""),46167.0)</f>
        <v>46167</v>
      </c>
      <c r="B675" s="48"/>
      <c r="C675" s="48"/>
      <c r="D675" s="48"/>
      <c r="E675" s="53" t="str">
        <f>IFERROR(__xludf.DUMMYFUNCTION("""COMPUTED_VALUE"""),"Publicar story do aniversário de Denilson Nande – Prefeitura Municipal de Itarema ")</f>
        <v>Publicar story do aniversário de Denilson Nande – Prefeitura Municipal de Itarema </v>
      </c>
    </row>
    <row r="676">
      <c r="A676" s="54">
        <f>IFERROR(__xludf.DUMMYFUNCTION("""COMPUTED_VALUE"""),46167.0)</f>
        <v>46167</v>
      </c>
      <c r="B676" s="48"/>
      <c r="C676" s="48"/>
      <c r="D676" s="48"/>
      <c r="E676" s="53" t="str">
        <f>IFERROR(__xludf.DUMMYFUNCTION("""COMPUTED_VALUE"""),"Publicação de reels sobre o Dia do Trabalhador Rural")</f>
        <v>Publicação de reels sobre o Dia do Trabalhador Rural</v>
      </c>
    </row>
    <row r="677">
      <c r="A677" s="54">
        <f>IFERROR(__xludf.DUMMYFUNCTION("""COMPUTED_VALUE"""),46167.0)</f>
        <v>46167</v>
      </c>
      <c r="B677" s="48"/>
      <c r="C677" s="48"/>
      <c r="D677" s="48"/>
      <c r="E677" s="53" t="str">
        <f>IFERROR(__xludf.DUMMYFUNCTION("""COMPUTED_VALUE"""),"Confirmações de presença para a 37ª Reunião Extraordinária do CBH Litoral")</f>
        <v>Confirmações de presença para a 37ª Reunião Extraordinária do CBH Litoral</v>
      </c>
    </row>
    <row r="678">
      <c r="A678" s="54">
        <f>IFERROR(__xludf.DUMMYFUNCTION("""COMPUTED_VALUE"""),46167.0)</f>
        <v>46167</v>
      </c>
      <c r="B678" s="48"/>
      <c r="C678" s="48"/>
      <c r="D678" s="48"/>
      <c r="E678" s="53" t="str">
        <f>IFERROR(__xludf.DUMMYFUNCTION("""COMPUTED_VALUE"""),"Inserção de diarias ")</f>
        <v>Inserção de diarias </v>
      </c>
    </row>
    <row r="679">
      <c r="A679" s="54">
        <f>IFERROR(__xludf.DUMMYFUNCTION("""COMPUTED_VALUE"""),46167.0)</f>
        <v>46167</v>
      </c>
      <c r="B679" s="48"/>
      <c r="C679" s="48"/>
      <c r="D679" s="48"/>
      <c r="E679" s="53" t="str">
        <f>IFERROR(__xludf.DUMMYFUNCTION("""COMPUTED_VALUE"""),"Monitoramento dos Poços e Medição de Vazão em Usuários")</f>
        <v>Monitoramento dos Poços e Medição de Vazão em Usuários</v>
      </c>
    </row>
    <row r="680">
      <c r="A680" s="54">
        <f>IFERROR(__xludf.DUMMYFUNCTION("""COMPUTED_VALUE"""),46167.0)</f>
        <v>46167</v>
      </c>
      <c r="B680" s="48"/>
      <c r="C680" s="48"/>
      <c r="D680" s="48"/>
      <c r="E680" s="53" t="str">
        <f>IFERROR(__xludf.DUMMYFUNCTION("""COMPUTED_VALUE"""),"Atualização da planilha do Monitoramento dos Poços")</f>
        <v>Atualização da planilha do Monitoramento dos Poços</v>
      </c>
    </row>
    <row r="681">
      <c r="A681" s="54">
        <f>IFERROR(__xludf.DUMMYFUNCTION("""COMPUTED_VALUE"""),46168.0)</f>
        <v>46168</v>
      </c>
      <c r="B681" s="48"/>
      <c r="C681" s="48"/>
      <c r="D681" s="48"/>
      <c r="E681" s="53" t="str">
        <f>IFERROR(__xludf.DUMMYFUNCTION("""COMPUTED_VALUE"""),"Apoio logístico para Wellington participar da Conferência Regional para elaboração do Plano Estadual  de Proteção e Defesa Civil (Riscos e Vulnerabilidades de Bacias Hidrográficas)")</f>
        <v>Apoio logístico para Wellington participar da Conferência Regional para elaboração do Plano Estadual  de Proteção e Defesa Civil (Riscos e Vulnerabilidades de Bacias Hidrográficas)</v>
      </c>
    </row>
    <row r="682">
      <c r="A682" s="54">
        <f>IFERROR(__xludf.DUMMYFUNCTION("""COMPUTED_VALUE"""),46168.0)</f>
        <v>46168</v>
      </c>
      <c r="B682" s="48"/>
      <c r="C682" s="48"/>
      <c r="D682" s="48"/>
      <c r="E682" s="53" t="str">
        <f>IFERROR(__xludf.DUMMYFUNCTION("""COMPUTED_VALUE"""),"Organização dos documentos para a Reunião da Junta Eleitoral")</f>
        <v>Organização dos documentos para a Reunião da Junta Eleitoral</v>
      </c>
    </row>
    <row r="683">
      <c r="A683" s="54">
        <f>IFERROR(__xludf.DUMMYFUNCTION("""COMPUTED_VALUE"""),46168.0)</f>
        <v>46168</v>
      </c>
      <c r="B683" s="48"/>
      <c r="C683" s="48"/>
      <c r="D683" s="48"/>
      <c r="E683" s="53" t="str">
        <f>IFERROR(__xludf.DUMMYFUNCTION("""COMPUTED_VALUE"""),"Providenciar stories dos aniversariantes do mês de junho e confirmar aniversários ")</f>
        <v>Providenciar stories dos aniversariantes do mês de junho e confirmar aniversários </v>
      </c>
    </row>
    <row r="684">
      <c r="A684" s="54">
        <f>IFERROR(__xludf.DUMMYFUNCTION("""COMPUTED_VALUE"""),46168.0)</f>
        <v>46168</v>
      </c>
      <c r="B684" s="48"/>
      <c r="C684" s="48"/>
      <c r="D684" s="48"/>
      <c r="E684" s="53" t="str">
        <f>IFERROR(__xludf.DUMMYFUNCTION("""COMPUTED_VALUE"""),"Produção de matéria sobre a Reunião da Junta Eleitoral")</f>
        <v>Produção de matéria sobre a Reunião da Junta Eleitoral</v>
      </c>
    </row>
    <row r="685">
      <c r="A685" s="54">
        <f>IFERROR(__xludf.DUMMYFUNCTION("""COMPUTED_VALUE"""),46168.0)</f>
        <v>46168</v>
      </c>
      <c r="B685" s="48"/>
      <c r="C685" s="48"/>
      <c r="D685" s="48"/>
      <c r="E685" s="53" t="str">
        <f>IFERROR(__xludf.DUMMYFUNCTION("""COMPUTED_VALUE"""),"Visita Técnica e verificação de correção de anomalias no açude Poço Verde")</f>
        <v>Visita Técnica e verificação de correção de anomalias no açude Poço Verde</v>
      </c>
    </row>
    <row r="686">
      <c r="A686" s="54">
        <f>IFERROR(__xludf.DUMMYFUNCTION("""COMPUTED_VALUE"""),46168.0)</f>
        <v>46168</v>
      </c>
      <c r="B686" s="48"/>
      <c r="C686" s="48"/>
      <c r="D686" s="48"/>
      <c r="E686" s="53" t="str">
        <f>IFERROR(__xludf.DUMMYFUNCTION("""COMPUTED_VALUE"""),"Visita Técnica, verificação de correção de anomalias e Medição de Vazão nas captações no açude Quandu")</f>
        <v>Visita Técnica, verificação de correção de anomalias e Medição de Vazão nas captações no açude Quandu</v>
      </c>
    </row>
    <row r="687">
      <c r="A687" s="54">
        <f>IFERROR(__xludf.DUMMYFUNCTION("""COMPUTED_VALUE"""),46168.0)</f>
        <v>46168</v>
      </c>
      <c r="B687" s="48"/>
      <c r="C687" s="48"/>
      <c r="D687" s="48"/>
      <c r="E687" s="53" t="str">
        <f>IFERROR(__xludf.DUMMYFUNCTION("""COMPUTED_VALUE"""),"Solicitação de materiais no almoxarifado")</f>
        <v>Solicitação de materiais no almoxarifado</v>
      </c>
    </row>
    <row r="688">
      <c r="A688" s="54">
        <f>IFERROR(__xludf.DUMMYFUNCTION("""COMPUTED_VALUE"""),46169.0)</f>
        <v>46169</v>
      </c>
      <c r="B688" s="48"/>
      <c r="C688" s="48"/>
      <c r="D688" s="48"/>
      <c r="E688" s="53" t="str">
        <f>IFERROR(__xludf.DUMMYFUNCTION("""COMPUTED_VALUE"""),"Publicar story do aniversário de Edileusa Alexandrino – Lions Clube de Acaraú ")</f>
        <v>Publicar story do aniversário de Edileusa Alexandrino – Lions Clube de Acaraú </v>
      </c>
    </row>
    <row r="689">
      <c r="A689" s="54">
        <f>IFERROR(__xludf.DUMMYFUNCTION("""COMPUTED_VALUE"""),46169.0)</f>
        <v>46169</v>
      </c>
      <c r="B689" s="48"/>
      <c r="C689" s="48"/>
      <c r="D689" s="48"/>
      <c r="E689" s="53" t="str">
        <f>IFERROR(__xludf.DUMMYFUNCTION("""COMPUTED_VALUE"""),"Visita aos Tremembés para alinhar a visita técnica do FCCBH")</f>
        <v>Visita aos Tremembés para alinhar a visita técnica do FCCBH</v>
      </c>
    </row>
    <row r="690">
      <c r="A690" s="54">
        <f>IFERROR(__xludf.DUMMYFUNCTION("""COMPUTED_VALUE"""),46169.0)</f>
        <v>46169</v>
      </c>
      <c r="B690" s="48"/>
      <c r="C690" s="48"/>
      <c r="D690" s="48"/>
      <c r="E690" s="53" t="str">
        <f>IFERROR(__xludf.DUMMYFUNCTION("""COMPUTED_VALUE"""),"FAG")</f>
        <v>FAG</v>
      </c>
    </row>
    <row r="691">
      <c r="A691" s="54">
        <f>IFERROR(__xludf.DUMMYFUNCTION("""COMPUTED_VALUE"""),46139.0)</f>
        <v>46139</v>
      </c>
      <c r="B691" s="48"/>
      <c r="C691" s="48"/>
      <c r="D691" s="48"/>
      <c r="E691" s="53" t="str">
        <f>IFERROR(__xludf.DUMMYFUNCTION("""COMPUTED_VALUE"""),"Justificar planilha de não localizados ")</f>
        <v>Justificar planilha de não localizados </v>
      </c>
    </row>
    <row r="692">
      <c r="A692" s="54">
        <f>IFERROR(__xludf.DUMMYFUNCTION("""COMPUTED_VALUE"""),46169.0)</f>
        <v>46169</v>
      </c>
      <c r="B692" s="48"/>
      <c r="C692" s="48"/>
      <c r="D692" s="48"/>
      <c r="E692" s="53" t="str">
        <f>IFERROR(__xludf.DUMMYFUNCTION("""COMPUTED_VALUE"""),"Realizar prestação de conta de diarias ")</f>
        <v>Realizar prestação de conta de diarias </v>
      </c>
    </row>
    <row r="693">
      <c r="A693" s="54">
        <f>IFERROR(__xludf.DUMMYFUNCTION("""COMPUTED_VALUE"""),46170.0)</f>
        <v>46170</v>
      </c>
      <c r="B693" s="48"/>
      <c r="C693" s="48"/>
      <c r="D693" s="48"/>
      <c r="E693" s="53" t="str">
        <f>IFERROR(__xludf.DUMMYFUNCTION("""COMPUTED_VALUE"""),"Conferência de estoque")</f>
        <v>Conferência de estoque</v>
      </c>
    </row>
    <row r="694">
      <c r="A694" s="54">
        <f>IFERROR(__xludf.DUMMYFUNCTION("""COMPUTED_VALUE"""),46170.0)</f>
        <v>46170</v>
      </c>
      <c r="B694" s="48"/>
      <c r="C694" s="48"/>
      <c r="D694" s="48"/>
      <c r="E694" s="53" t="str">
        <f>IFERROR(__xludf.DUMMYFUNCTION("""COMPUTED_VALUE"""),"Reunião orcamentária 2027 e diretrizes de alocação")</f>
        <v>Reunião orcamentária 2027 e diretrizes de alocação</v>
      </c>
    </row>
    <row r="695">
      <c r="A695" s="54">
        <f>IFERROR(__xludf.DUMMYFUNCTION("""COMPUTED_VALUE"""),46171.0)</f>
        <v>46171</v>
      </c>
      <c r="B695" s="48"/>
      <c r="C695" s="48"/>
      <c r="D695" s="48"/>
      <c r="E695" s="53" t="str">
        <f>IFERROR(__xludf.DUMMYFUNCTION("""COMPUTED_VALUE"""),"Reunião de alinhamento")</f>
        <v>Reunião de alinhamento</v>
      </c>
    </row>
    <row r="696">
      <c r="A696" s="54">
        <f>IFERROR(__xludf.DUMMYFUNCTION("""COMPUTED_VALUE"""),46171.0)</f>
        <v>46171</v>
      </c>
      <c r="B696" s="48"/>
      <c r="C696" s="48"/>
      <c r="D696" s="48"/>
      <c r="E696" s="53" t="str">
        <f>IFERROR(__xludf.DUMMYFUNCTION("""COMPUTED_VALUE"""),"Atualização da planilha da Gestão Participativa e da Gerência Regional com atividades programadas da semana")</f>
        <v>Atualização da planilha da Gestão Participativa e da Gerência Regional com atividades programadas da semana</v>
      </c>
    </row>
    <row r="697">
      <c r="A697" s="54">
        <f>IFERROR(__xludf.DUMMYFUNCTION("""COMPUTED_VALUE"""),46171.0)</f>
        <v>46171</v>
      </c>
      <c r="B697" s="48"/>
      <c r="C697" s="48"/>
      <c r="D697" s="48"/>
      <c r="E697" s="53" t="str">
        <f>IFERROR(__xludf.DUMMYFUNCTION("""COMPUTED_VALUE"""),"Atualização dos dados de Captação e Perenização no SIGERH")</f>
        <v>Atualização dos dados de Captação e Perenização no SIGERH</v>
      </c>
    </row>
    <row r="698">
      <c r="A698" s="54">
        <f>IFERROR(__xludf.DUMMYFUNCTION("""COMPUTED_VALUE"""),46171.0)</f>
        <v>46171</v>
      </c>
      <c r="B698" s="48"/>
      <c r="C698" s="48"/>
      <c r="D698" s="48"/>
      <c r="E698" s="53" t="str">
        <f>IFERROR(__xludf.DUMMYFUNCTION("""COMPUTED_VALUE"""),"Instrumentação dos açudes Missi e Poço Verde (Piezômetros e Medidores de Vazão de Percolação)")</f>
        <v>Instrumentação dos açudes Missi e Poço Verde (Piezômetros e Medidores de Vazão de Percolação)</v>
      </c>
    </row>
    <row r="699">
      <c r="A699" s="54">
        <f>IFERROR(__xludf.DUMMYFUNCTION("""COMPUTED_VALUE"""),46171.0)</f>
        <v>46171</v>
      </c>
      <c r="B699" s="48"/>
      <c r="C699" s="48"/>
      <c r="D699" s="48"/>
      <c r="E699" s="53" t="str">
        <f>IFERROR(__xludf.DUMMYFUNCTION("""COMPUTED_VALUE"""),"Preenchimento de gestão  de frota ")</f>
        <v>Preenchimento de gestão  de frota </v>
      </c>
    </row>
    <row r="700">
      <c r="A700" s="54">
        <f>IFERROR(__xludf.DUMMYFUNCTION("""COMPUTED_VALUE"""),46172.0)</f>
        <v>46172</v>
      </c>
      <c r="B700" s="48"/>
      <c r="C700" s="48"/>
      <c r="D700" s="48"/>
      <c r="E700" s="48"/>
    </row>
    <row r="701">
      <c r="A701" s="54">
        <f>IFERROR(__xludf.DUMMYFUNCTION("""COMPUTED_VALUE"""),46173.0)</f>
        <v>46173</v>
      </c>
      <c r="B701" s="48"/>
      <c r="C701" s="48"/>
      <c r="D701" s="48"/>
      <c r="E701" s="48"/>
    </row>
    <row r="702">
      <c r="A702" s="54">
        <f>IFERROR(__xludf.DUMMYFUNCTION("""COMPUTED_VALUE"""),46174.0)</f>
        <v>46174</v>
      </c>
      <c r="B702" s="48"/>
      <c r="C702" s="48"/>
      <c r="D702" s="48"/>
      <c r="E702" s="53" t="str">
        <f>IFERROR(__xludf.DUMMYFUNCTION("""COMPUTED_VALUE"""),"Remover tema de aniversário das redes sociais do CBH Litoral")</f>
        <v>Remover tema de aniversário das redes sociais do CBH Litoral</v>
      </c>
    </row>
    <row r="703">
      <c r="A703" s="54">
        <f>IFERROR(__xludf.DUMMYFUNCTION("""COMPUTED_VALUE"""),46174.0)</f>
        <v>46174</v>
      </c>
      <c r="B703" s="48"/>
      <c r="C703" s="48"/>
      <c r="D703" s="48"/>
      <c r="E703" s="53" t="str">
        <f>IFERROR(__xludf.DUMMYFUNCTION("""COMPUTED_VALUE"""),"Publicação de story com o calendário de junho no Instagram do CBH Litoral")</f>
        <v>Publicação de story com o calendário de junho no Instagram do CBH Litoral</v>
      </c>
    </row>
    <row r="704">
      <c r="A704" s="54">
        <f>IFERROR(__xludf.DUMMYFUNCTION("""COMPUTED_VALUE"""),46174.0)</f>
        <v>46174</v>
      </c>
      <c r="B704" s="48"/>
      <c r="C704" s="48"/>
      <c r="D704" s="48"/>
      <c r="E704" s="53" t="str">
        <f>IFERROR(__xludf.DUMMYFUNCTION("""COMPUTED_VALUE"""),"Reunião da Junta Eleitoral do processo de eleição da Diretoria do CBH Litoral")</f>
        <v>Reunião da Junta Eleitoral do processo de eleição da Diretoria do CBH Litoral</v>
      </c>
    </row>
    <row r="705">
      <c r="A705" s="54">
        <f>IFERROR(__xludf.DUMMYFUNCTION("""COMPUTED_VALUE"""),46174.0)</f>
        <v>46174</v>
      </c>
      <c r="B705" s="48"/>
      <c r="C705" s="48"/>
      <c r="D705" s="48"/>
      <c r="E705" s="53" t="str">
        <f>IFERROR(__xludf.DUMMYFUNCTION("""COMPUTED_VALUE"""),"Gravação e edição de vídeo com o Coordenador da Junta Eleitoral")</f>
        <v>Gravação e edição de vídeo com o Coordenador da Junta Eleitoral</v>
      </c>
    </row>
    <row r="706">
      <c r="A706" s="54">
        <f>IFERROR(__xludf.DUMMYFUNCTION("""COMPUTED_VALUE"""),46174.0)</f>
        <v>46174</v>
      </c>
      <c r="B706" s="48"/>
      <c r="C706" s="48"/>
      <c r="D706" s="48"/>
      <c r="E706" s="53" t="str">
        <f>IFERROR(__xludf.DUMMYFUNCTION("""COMPUTED_VALUE"""),"Publicação de matéria sobre a Reunião da Junta Eleitoral")</f>
        <v>Publicação de matéria sobre a Reunião da Junta Eleitoral</v>
      </c>
    </row>
    <row r="707">
      <c r="A707" s="54">
        <f>IFERROR(__xludf.DUMMYFUNCTION("""COMPUTED_VALUE"""),46174.0)</f>
        <v>46174</v>
      </c>
      <c r="B707" s="48"/>
      <c r="C707" s="48"/>
      <c r="D707" s="48"/>
      <c r="E707" s="53" t="str">
        <f>IFERROR(__xludf.DUMMYFUNCTION("""COMPUTED_VALUE"""),"Produção de ata da Reunião da Junta Eleitoral")</f>
        <v>Produção de ata da Reunião da Junta Eleitoral</v>
      </c>
    </row>
    <row r="708">
      <c r="A708" s="54">
        <f>IFERROR(__xludf.DUMMYFUNCTION("""COMPUTED_VALUE"""),46174.0)</f>
        <v>46174</v>
      </c>
      <c r="B708" s="48"/>
      <c r="C708" s="48"/>
      <c r="D708" s="48"/>
      <c r="E708" s="53" t="str">
        <f>IFERROR(__xludf.DUMMYFUNCTION("""COMPUTED_VALUE"""),"Divulgação das chapas inscritas na eleição da Diretoria – mandato 2026/2028")</f>
        <v>Divulgação das chapas inscritas na eleição da Diretoria – mandato 2026/2028</v>
      </c>
    </row>
    <row r="709">
      <c r="A709" s="54">
        <f>IFERROR(__xludf.DUMMYFUNCTION("""COMPUTED_VALUE"""),46174.0)</f>
        <v>46174</v>
      </c>
      <c r="B709" s="48"/>
      <c r="C709" s="48"/>
      <c r="D709" s="48"/>
      <c r="E709" s="53" t="str">
        <f>IFERROR(__xludf.DUMMYFUNCTION("""COMPUTED_VALUE"""),"Mobilização para a 3ª Oficina do Plano de Secas do Hidrossistema Poço Verde")</f>
        <v>Mobilização para a 3ª Oficina do Plano de Secas do Hidrossistema Poço Verde</v>
      </c>
    </row>
    <row r="710">
      <c r="A710" s="54">
        <f>IFERROR(__xludf.DUMMYFUNCTION("""COMPUTED_VALUE"""),46174.0)</f>
        <v>46174</v>
      </c>
      <c r="B710" s="48"/>
      <c r="C710" s="48"/>
      <c r="D710" s="48"/>
      <c r="E710" s="53" t="str">
        <f>IFERROR(__xludf.DUMMYFUNCTION("""COMPUTED_VALUE"""),"Organização de documentos para as mobilizações sociais ")</f>
        <v>Organização de documentos para as mobilizações sociais </v>
      </c>
    </row>
    <row r="711">
      <c r="A711" s="54">
        <f>IFERROR(__xludf.DUMMYFUNCTION("""COMPUTED_VALUE"""),46174.0)</f>
        <v>46174</v>
      </c>
      <c r="B711" s="48"/>
      <c r="C711" s="48"/>
      <c r="D711" s="48"/>
      <c r="E711" s="53" t="str">
        <f>IFERROR(__xludf.DUMMYFUNCTION("""COMPUTED_VALUE"""),"Providenciar CI para as reuniões de junho")</f>
        <v>Providenciar CI para as reuniões de junho</v>
      </c>
    </row>
    <row r="712">
      <c r="A712" s="54">
        <f>IFERROR(__xludf.DUMMYFUNCTION("""COMPUTED_VALUE"""),46174.0)</f>
        <v>46174</v>
      </c>
      <c r="B712" s="48"/>
      <c r="C712" s="48"/>
      <c r="D712" s="48"/>
      <c r="E712" s="53" t="str">
        <f>IFERROR(__xludf.DUMMYFUNCTION("""COMPUTED_VALUE"""),"Atividade Interna (Revisão dos dados dos Indicadores)")</f>
        <v>Atividade Interna (Revisão dos dados dos Indicadores)</v>
      </c>
    </row>
    <row r="713">
      <c r="A713" s="54">
        <f>IFERROR(__xludf.DUMMYFUNCTION("""COMPUTED_VALUE"""),46174.0)</f>
        <v>46174</v>
      </c>
      <c r="B713" s="48"/>
      <c r="C713" s="48"/>
      <c r="D713" s="48"/>
      <c r="E713" s="53" t="str">
        <f>IFERROR(__xludf.DUMMYFUNCTION("""COMPUTED_VALUE"""),"Apoio à manutenção da  Barragem do açude Quandu - roçagem")</f>
        <v>Apoio à manutenção da  Barragem do açude Quandu - roçagem</v>
      </c>
    </row>
    <row r="714">
      <c r="A714" s="54">
        <f>IFERROR(__xludf.DUMMYFUNCTION("""COMPUTED_VALUE"""),46174.0)</f>
        <v>46174</v>
      </c>
      <c r="B714" s="48"/>
      <c r="C714" s="48"/>
      <c r="D714" s="48"/>
      <c r="E714" s="53" t="str">
        <f>IFERROR(__xludf.DUMMYFUNCTION("""COMPUTED_VALUE"""),"Revisão e organização das fichas de Inspeção dos açudes da Bacia do Litoral")</f>
        <v>Revisão e organização das fichas de Inspeção dos açudes da Bacia do Litoral</v>
      </c>
    </row>
    <row r="715">
      <c r="A715" s="54">
        <f>IFERROR(__xludf.DUMMYFUNCTION("""COMPUTED_VALUE"""),46174.0)</f>
        <v>46174</v>
      </c>
      <c r="B715" s="48"/>
      <c r="C715" s="48"/>
      <c r="D715" s="48"/>
      <c r="E715" s="53" t="str">
        <f>IFERROR(__xludf.DUMMYFUNCTION("""COMPUTED_VALUE"""),"Gerar simulações para a apresentação de alocação de 2026.2")</f>
        <v>Gerar simulações para a apresentação de alocação de 2026.2</v>
      </c>
    </row>
    <row r="716">
      <c r="A716" s="54">
        <f>IFERROR(__xludf.DUMMYFUNCTION("""COMPUTED_VALUE"""),46174.0)</f>
        <v>46174</v>
      </c>
      <c r="B716" s="48"/>
      <c r="C716" s="48"/>
      <c r="D716" s="48"/>
      <c r="E716" s="53" t="str">
        <f>IFERROR(__xludf.DUMMYFUNCTION("""COMPUTED_VALUE"""),"Produção da apresentação de alocação para a diretoria do CBH")</f>
        <v>Produção da apresentação de alocação para a diretoria do CBH</v>
      </c>
    </row>
    <row r="717">
      <c r="A717" s="54">
        <f>IFERROR(__xludf.DUMMYFUNCTION("""COMPUTED_VALUE"""),46174.0)</f>
        <v>46174</v>
      </c>
      <c r="B717" s="48"/>
      <c r="C717" s="48"/>
      <c r="D717" s="48"/>
      <c r="E717" s="53" t="str">
        <f>IFERROR(__xludf.DUMMYFUNCTION("""COMPUTED_VALUE"""),"Organizar as compras de materias para a correção de anomalias (cimento e formicida)")</f>
        <v>Organizar as compras de materias para a correção de anomalias (cimento e formicida)</v>
      </c>
    </row>
    <row r="718">
      <c r="A718" s="54">
        <f>IFERROR(__xludf.DUMMYFUNCTION("""COMPUTED_VALUE"""),46174.0)</f>
        <v>46174</v>
      </c>
      <c r="B718" s="48"/>
      <c r="C718" s="48"/>
      <c r="D718" s="48"/>
      <c r="E718" s="53" t="str">
        <f>IFERROR(__xludf.DUMMYFUNCTION("""COMPUTED_VALUE"""),"Faturamento (Coleta das leituras dos hidrômetros)")</f>
        <v>Faturamento (Coleta das leituras dos hidrômetros)</v>
      </c>
    </row>
    <row r="719">
      <c r="A719" s="54">
        <f>IFERROR(__xludf.DUMMYFUNCTION("""COMPUTED_VALUE"""),46174.0)</f>
        <v>46174</v>
      </c>
      <c r="B719" s="48"/>
      <c r="C719" s="48"/>
      <c r="D719" s="48"/>
      <c r="E719" s="53" t="str">
        <f>IFERROR(__xludf.DUMMYFUNCTION("""COMPUTED_VALUE"""),"Manutenção da Moto")</f>
        <v>Manutenção da Moto</v>
      </c>
    </row>
    <row r="720">
      <c r="A720" s="54">
        <f>IFERROR(__xludf.DUMMYFUNCTION("""COMPUTED_VALUE"""),46175.0)</f>
        <v>46175</v>
      </c>
      <c r="B720" s="48"/>
      <c r="C720" s="48"/>
      <c r="D720" s="48"/>
      <c r="E720" s="53" t="str">
        <f>IFERROR(__xludf.DUMMYFUNCTION("""COMPUTED_VALUE"""),"Produção de peças sobre as alocações negociadas")</f>
        <v>Produção de peças sobre as alocações negociadas</v>
      </c>
    </row>
    <row r="721">
      <c r="A721" s="54">
        <f>IFERROR(__xludf.DUMMYFUNCTION("""COMPUTED_VALUE"""),46175.0)</f>
        <v>46175</v>
      </c>
      <c r="B721" s="48"/>
      <c r="C721" s="48"/>
      <c r="D721" s="48"/>
      <c r="E721" s="53" t="str">
        <f>IFERROR(__xludf.DUMMYFUNCTION("""COMPUTED_VALUE"""),"Organização do espaço para a 37ª Reunião Extraordinária do CBH Litoral")</f>
        <v>Organização do espaço para a 37ª Reunião Extraordinária do CBH Litoral</v>
      </c>
    </row>
    <row r="722">
      <c r="A722" s="54">
        <f>IFERROR(__xludf.DUMMYFUNCTION("""COMPUTED_VALUE"""),46175.0)</f>
        <v>46175</v>
      </c>
      <c r="B722" s="48"/>
      <c r="C722" s="48"/>
      <c r="D722" s="48"/>
      <c r="E722" s="53" t="str">
        <f>IFERROR(__xludf.DUMMYFUNCTION("""COMPUTED_VALUE"""),"Produção da apresentação de alocação para a diretoria do CBH")</f>
        <v>Produção da apresentação de alocação para a diretoria do CBH</v>
      </c>
    </row>
    <row r="723">
      <c r="A723" s="54">
        <f>IFERROR(__xludf.DUMMYFUNCTION("""COMPUTED_VALUE"""),46175.0)</f>
        <v>46175</v>
      </c>
      <c r="B723" s="48"/>
      <c r="C723" s="48"/>
      <c r="D723" s="48"/>
      <c r="E723" s="53" t="str">
        <f>IFERROR(__xludf.DUMMYFUNCTION("""COMPUTED_VALUE"""),"Cadastro da barragem brotas")</f>
        <v>Cadastro da barragem brotas</v>
      </c>
    </row>
    <row r="724">
      <c r="A724" s="54">
        <f>IFERROR(__xludf.DUMMYFUNCTION("""COMPUTED_VALUE"""),46175.0)</f>
        <v>46175</v>
      </c>
      <c r="B724" s="48"/>
      <c r="C724" s="48"/>
      <c r="D724" s="48"/>
      <c r="E724" s="53" t="str">
        <f>IFERROR(__xludf.DUMMYFUNCTION("""COMPUTED_VALUE"""),"Roço no açude Quandu")</f>
        <v>Roço no açude Quandu</v>
      </c>
    </row>
    <row r="725">
      <c r="A725" s="54">
        <f>IFERROR(__xludf.DUMMYFUNCTION("""COMPUTED_VALUE"""),46175.0)</f>
        <v>46175</v>
      </c>
      <c r="B725" s="48"/>
      <c r="C725" s="48"/>
      <c r="D725" s="48"/>
      <c r="E725" s="53" t="str">
        <f>IFERROR(__xludf.DUMMYFUNCTION("""COMPUTED_VALUE"""),"Inserção de dados das simulações na apresentação de alocação de 2026.2")</f>
        <v>Inserção de dados das simulações na apresentação de alocação de 2026.2</v>
      </c>
    </row>
    <row r="726">
      <c r="A726" s="54">
        <f>IFERROR(__xludf.DUMMYFUNCTION("""COMPUTED_VALUE"""),46175.0)</f>
        <v>46175</v>
      </c>
      <c r="B726" s="48"/>
      <c r="C726" s="48"/>
      <c r="D726" s="48"/>
      <c r="E726" s="53" t="str">
        <f>IFERROR(__xludf.DUMMYFUNCTION("""COMPUTED_VALUE"""),"Faturamento (Coleta das leituras dos hidrômetros) e Medição Comparativa")</f>
        <v>Faturamento (Coleta das leituras dos hidrômetros) e Medição Comparativa</v>
      </c>
    </row>
    <row r="727">
      <c r="A727" s="54">
        <f>IFERROR(__xludf.DUMMYFUNCTION("""COMPUTED_VALUE"""),46176.0)</f>
        <v>46176</v>
      </c>
      <c r="B727" s="48"/>
      <c r="C727" s="48"/>
      <c r="D727" s="48"/>
      <c r="E727" s="53" t="str">
        <f>IFERROR(__xludf.DUMMYFUNCTION("""COMPUTED_VALUE"""),"Publicar story sobre o Dia Nacional da Educação Ambiental")</f>
        <v>Publicar story sobre o Dia Nacional da Educação Ambiental</v>
      </c>
    </row>
    <row r="728">
      <c r="A728" s="54">
        <f>IFERROR(__xludf.DUMMYFUNCTION("""COMPUTED_VALUE"""),46176.0)</f>
        <v>46176</v>
      </c>
      <c r="B728" s="48"/>
      <c r="C728" s="48"/>
      <c r="D728" s="48"/>
      <c r="E728" s="53" t="str">
        <f>IFERROR(__xludf.DUMMYFUNCTION("""COMPUTED_VALUE"""),"37ª Reunião Extraordinária do CBH Litoral ")</f>
        <v>37ª Reunião Extraordinária do CBH Litoral </v>
      </c>
    </row>
    <row r="729">
      <c r="A729" s="54">
        <f>IFERROR(__xludf.DUMMYFUNCTION("""COMPUTED_VALUE"""),46176.0)</f>
        <v>46176</v>
      </c>
      <c r="B729" s="48"/>
      <c r="C729" s="48"/>
      <c r="D729" s="48"/>
      <c r="E729" s="53" t="str">
        <f>IFERROR(__xludf.DUMMYFUNCTION("""COMPUTED_VALUE"""),"Apoio Logístico para membros do CBH Litoral - 37ª Reunião Extraordinária (Teúnas e Antônio Carlos)")</f>
        <v>Apoio Logístico para membros do CBH Litoral - 37ª Reunião Extraordinária (Teúnas e Antônio Carlos)</v>
      </c>
    </row>
    <row r="730">
      <c r="A730" s="54">
        <f>IFERROR(__xludf.DUMMYFUNCTION("""COMPUTED_VALUE"""),46176.0)</f>
        <v>46176</v>
      </c>
      <c r="B730" s="48"/>
      <c r="C730" s="48"/>
      <c r="D730" s="48"/>
      <c r="E730" s="53" t="str">
        <f>IFERROR(__xludf.DUMMYFUNCTION("""COMPUTED_VALUE"""),"Apoio Logístico para membros do CBH Litoral - 37ª Reunião Extraordinária (Cleonice)")</f>
        <v>Apoio Logístico para membros do CBH Litoral - 37ª Reunião Extraordinária (Cleonice)</v>
      </c>
    </row>
    <row r="731">
      <c r="A731" s="54">
        <f>IFERROR(__xludf.DUMMYFUNCTION("""COMPUTED_VALUE"""),46176.0)</f>
        <v>46176</v>
      </c>
      <c r="B731" s="48"/>
      <c r="C731" s="48"/>
      <c r="D731" s="48"/>
      <c r="E731" s="53" t="str">
        <f>IFERROR(__xludf.DUMMYFUNCTION("""COMPUTED_VALUE"""),"Gravação de vídeo sobre o aniversário de emancipação do município de Sobral")</f>
        <v>Gravação de vídeo sobre o aniversário de emancipação do município de Sobral</v>
      </c>
    </row>
    <row r="732">
      <c r="A732" s="54">
        <f>IFERROR(__xludf.DUMMYFUNCTION("""COMPUTED_VALUE"""),46176.0)</f>
        <v>46176</v>
      </c>
      <c r="B732" s="48"/>
      <c r="C732" s="48"/>
      <c r="D732" s="48"/>
      <c r="E732" s="53" t="str">
        <f>IFERROR(__xludf.DUMMYFUNCTION("""COMPUTED_VALUE"""),"Publicação de matéria sobre a 37ª Reunião Extraordinária do CBH Litoral")</f>
        <v>Publicação de matéria sobre a 37ª Reunião Extraordinária do CBH Litoral</v>
      </c>
    </row>
    <row r="733">
      <c r="A733" s="54">
        <f>IFERROR(__xludf.DUMMYFUNCTION("""COMPUTED_VALUE"""),46176.0)</f>
        <v>46176</v>
      </c>
      <c r="B733" s="48"/>
      <c r="C733" s="48"/>
      <c r="D733" s="48"/>
      <c r="E733" s="53" t="str">
        <f>IFERROR(__xludf.DUMMYFUNCTION("""COMPUTED_VALUE"""),"Produção de ata sobre a 37ª Reunião Extraordinária do CBH Litoral ")</f>
        <v>Produção de ata sobre a 37ª Reunião Extraordinária do CBH Litoral </v>
      </c>
    </row>
    <row r="734">
      <c r="A734" s="54">
        <f>IFERROR(__xludf.DUMMYFUNCTION("""COMPUTED_VALUE"""),46176.0)</f>
        <v>46176</v>
      </c>
      <c r="B734" s="48"/>
      <c r="C734" s="48"/>
      <c r="D734" s="48"/>
      <c r="E734" s="53" t="str">
        <f>IFERROR(__xludf.DUMMYFUNCTION("""COMPUTED_VALUE"""),"Mobilização para a 4ª Reunião com a Diretoria")</f>
        <v>Mobilização para a 4ª Reunião com a Diretoria</v>
      </c>
    </row>
    <row r="735">
      <c r="A735" s="54">
        <f>IFERROR(__xludf.DUMMYFUNCTION("""COMPUTED_VALUE"""),46176.0)</f>
        <v>46176</v>
      </c>
      <c r="B735" s="48"/>
      <c r="C735" s="48"/>
      <c r="D735" s="48"/>
      <c r="E735" s="53" t="str">
        <f>IFERROR(__xludf.DUMMYFUNCTION("""COMPUTED_VALUE"""),"Produção de relatório de Parecer Técnico sobre a 37ª Reunião Extraordinária do CBH Litoral")</f>
        <v>Produção de relatório de Parecer Técnico sobre a 37ª Reunião Extraordinária do CBH Litoral</v>
      </c>
    </row>
    <row r="736">
      <c r="A736" s="54">
        <f>IFERROR(__xludf.DUMMYFUNCTION("""COMPUTED_VALUE"""),46176.0)</f>
        <v>46176</v>
      </c>
      <c r="B736" s="48"/>
      <c r="C736" s="48"/>
      <c r="D736" s="48"/>
      <c r="E736" s="53" t="str">
        <f>IFERROR(__xludf.DUMMYFUNCTION("""COMPUTED_VALUE"""),"Produção de declarações de participação da 37ª Reunião Extraordinária do CBH Litoral ")</f>
        <v>Produção de declarações de participação da 37ª Reunião Extraordinária do CBH Litoral </v>
      </c>
    </row>
    <row r="737">
      <c r="A737" s="54">
        <f>IFERROR(__xludf.DUMMYFUNCTION("""COMPUTED_VALUE"""),46176.0)</f>
        <v>46176</v>
      </c>
      <c r="B737" s="48"/>
      <c r="C737" s="48"/>
      <c r="D737" s="48"/>
      <c r="E737" s="53" t="str">
        <f>IFERROR(__xludf.DUMMYFUNCTION("""COMPUTED_VALUE"""),"Apoio Logistico Francijane")</f>
        <v>Apoio Logistico Francijane</v>
      </c>
    </row>
    <row r="738">
      <c r="A738" s="54">
        <f>IFERROR(__xludf.DUMMYFUNCTION("""COMPUTED_VALUE"""),46176.0)</f>
        <v>46176</v>
      </c>
      <c r="B738" s="48"/>
      <c r="C738" s="48"/>
      <c r="D738" s="48"/>
      <c r="E738" s="53" t="str">
        <f>IFERROR(__xludf.DUMMYFUNCTION("""COMPUTED_VALUE"""),"Preparar arquivos e equipamentos para batimetria do açude Mundau")</f>
        <v>Preparar arquivos e equipamentos para batimetria do açude Mundau</v>
      </c>
    </row>
    <row r="739">
      <c r="A739" s="54">
        <f>IFERROR(__xludf.DUMMYFUNCTION("""COMPUTED_VALUE"""),46176.0)</f>
        <v>46176</v>
      </c>
      <c r="B739" s="48"/>
      <c r="C739" s="48"/>
      <c r="D739" s="48"/>
      <c r="E739" s="53" t="str">
        <f>IFERROR(__xludf.DUMMYFUNCTION("""COMPUTED_VALUE"""),"Faturamento (Coleta das leituras dos hidrômetros)")</f>
        <v>Faturamento (Coleta das leituras dos hidrômetros)</v>
      </c>
    </row>
    <row r="740">
      <c r="A740" s="54">
        <f>IFERROR(__xludf.DUMMYFUNCTION("""COMPUTED_VALUE"""),46177.0)</f>
        <v>46177</v>
      </c>
      <c r="B740" s="48"/>
      <c r="C740" s="48"/>
      <c r="D740" s="48"/>
      <c r="E740" s="53" t="str">
        <f>IFERROR(__xludf.DUMMYFUNCTION("""COMPUTED_VALUE"""),"Publicação de aniversário de Maria Otaviana do Nascimento e Ziberonio Lucas Alves ")</f>
        <v>Publicação de aniversário de Maria Otaviana do Nascimento e Ziberonio Lucas Alves </v>
      </c>
    </row>
    <row r="741">
      <c r="A741" s="54">
        <f>IFERROR(__xludf.DUMMYFUNCTION("""COMPUTED_VALUE"""),46177.0)</f>
        <v>46177</v>
      </c>
      <c r="B741" s="48"/>
      <c r="C741" s="48"/>
      <c r="D741" s="48"/>
      <c r="E741" s="53" t="str">
        <f>IFERROR(__xludf.DUMMYFUNCTION("""COMPUTED_VALUE"""),"CORPUS CHRISTI")</f>
        <v>CORPUS CHRISTI</v>
      </c>
    </row>
    <row r="742">
      <c r="A742" s="54">
        <f>IFERROR(__xludf.DUMMYFUNCTION("""COMPUTED_VALUE"""),46178.0)</f>
        <v>46178</v>
      </c>
      <c r="B742" s="48"/>
      <c r="C742" s="48"/>
      <c r="D742" s="48"/>
      <c r="E742" s="53" t="str">
        <f>IFERROR(__xludf.DUMMYFUNCTION("""COMPUTED_VALUE"""),"Publicação de reels sobre o Dia Mundial do Meio Ambiente e da Ecologia")</f>
        <v>Publicação de reels sobre o Dia Mundial do Meio Ambiente e da Ecologia</v>
      </c>
    </row>
    <row r="743">
      <c r="A743" s="54">
        <f>IFERROR(__xludf.DUMMYFUNCTION("""COMPUTED_VALUE"""),46178.0)</f>
        <v>46178</v>
      </c>
      <c r="B743" s="48"/>
      <c r="C743" s="48"/>
      <c r="D743" s="48"/>
      <c r="E743" s="53" t="str">
        <f>IFERROR(__xludf.DUMMYFUNCTION("""COMPUTED_VALUE"""),"Produção de matéria sobre a 4ª Reunião com a Diretoria do CBH Litoral")</f>
        <v>Produção de matéria sobre a 4ª Reunião com a Diretoria do CBH Litoral</v>
      </c>
    </row>
    <row r="744">
      <c r="A744" s="54">
        <f>IFERROR(__xludf.DUMMYFUNCTION("""COMPUTED_VALUE"""),46178.0)</f>
        <v>46178</v>
      </c>
      <c r="B744" s="48"/>
      <c r="C744" s="48"/>
      <c r="D744" s="48"/>
      <c r="E744" s="53" t="str">
        <f>IFERROR(__xludf.DUMMYFUNCTION("""COMPUTED_VALUE"""),"Produção de matéria sobre a 3ª Oficina do Plano de Secas do Hidrossistema Poço Verde")</f>
        <v>Produção de matéria sobre a 3ª Oficina do Plano de Secas do Hidrossistema Poço Verde</v>
      </c>
    </row>
    <row r="745">
      <c r="A745" s="54">
        <f>IFERROR(__xludf.DUMMYFUNCTION("""COMPUTED_VALUE"""),46178.0)</f>
        <v>46178</v>
      </c>
      <c r="B745" s="48"/>
      <c r="C745" s="48"/>
      <c r="D745" s="48"/>
      <c r="E745" s="53" t="str">
        <f>IFERROR(__xludf.DUMMYFUNCTION("""COMPUTED_VALUE"""),"Atividade Interna (Revisão dos dados dos Indicadores)")</f>
        <v>Atividade Interna (Revisão dos dados dos Indicadores)</v>
      </c>
    </row>
    <row r="746">
      <c r="A746" s="54">
        <f>IFERROR(__xludf.DUMMYFUNCTION("""COMPUTED_VALUE"""),46178.0)</f>
        <v>46178</v>
      </c>
      <c r="B746" s="48"/>
      <c r="C746" s="48"/>
      <c r="D746" s="48"/>
      <c r="E746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747">
      <c r="A747" s="54">
        <f>IFERROR(__xludf.DUMMYFUNCTION("""COMPUTED_VALUE"""),46179.0)</f>
        <v>46179</v>
      </c>
      <c r="B747" s="48"/>
      <c r="C747" s="48"/>
      <c r="D747" s="48"/>
      <c r="E747" s="48"/>
    </row>
    <row r="748">
      <c r="A748" s="54">
        <f>IFERROR(__xludf.DUMMYFUNCTION("""COMPUTED_VALUE"""),46180.0)</f>
        <v>46180</v>
      </c>
      <c r="B748" s="48"/>
      <c r="C748" s="48"/>
      <c r="D748" s="48"/>
      <c r="E748" s="48"/>
    </row>
    <row r="749">
      <c r="A749" s="54">
        <f>IFERROR(__xludf.DUMMYFUNCTION("""COMPUTED_VALUE"""),46181.0)</f>
        <v>46181</v>
      </c>
      <c r="B749" s="48"/>
      <c r="C749" s="48"/>
      <c r="D749" s="48"/>
      <c r="E749" s="53" t="str">
        <f>IFERROR(__xludf.DUMMYFUNCTION("""COMPUTED_VALUE"""),"Apoio logístico para Wellington participar da Reunião do Conselho de Administração da Cogerh")</f>
        <v>Apoio logístico para Wellington participar da Reunião do Conselho de Administração da Cogerh</v>
      </c>
    </row>
    <row r="750">
      <c r="A750" s="54">
        <f>IFERROR(__xludf.DUMMYFUNCTION("""COMPUTED_VALUE"""),46181.0)</f>
        <v>46181</v>
      </c>
      <c r="B750" s="48"/>
      <c r="C750" s="48"/>
      <c r="D750" s="48"/>
      <c r="E750" s="53" t="str">
        <f>IFERROR(__xludf.DUMMYFUNCTION("""COMPUTED_VALUE"""),"Atualização dos dados de Captação e Perenização no SIGERH")</f>
        <v>Atualização dos dados de Captação e Perenização no SIGERH</v>
      </c>
    </row>
    <row r="751">
      <c r="A751" s="54">
        <f>IFERROR(__xludf.DUMMYFUNCTION("""COMPUTED_VALUE"""),46181.0)</f>
        <v>46181</v>
      </c>
      <c r="B751" s="48"/>
      <c r="C751" s="48"/>
      <c r="D751" s="48"/>
      <c r="E751" s="53" t="str">
        <f>IFERROR(__xludf.DUMMYFUNCTION("""COMPUTED_VALUE"""),"4ª Reunião com a Diretoria do CBH Litoral 8:30-9:30")</f>
        <v>4ª Reunião com a Diretoria do CBH Litoral 8:30-9:30</v>
      </c>
    </row>
    <row r="752">
      <c r="A752" s="54">
        <f>IFERROR(__xludf.DUMMYFUNCTION("""COMPUTED_VALUE"""),46181.0)</f>
        <v>46181</v>
      </c>
      <c r="B752" s="48"/>
      <c r="C752" s="48"/>
      <c r="D752" s="48"/>
      <c r="E752" s="53" t="str">
        <f>IFERROR(__xludf.DUMMYFUNCTION("""COMPUTED_VALUE"""),"Publicação de matéria da 4ª Reunião da Diretoria")</f>
        <v>Publicação de matéria da 4ª Reunião da Diretoria</v>
      </c>
    </row>
    <row r="753">
      <c r="A753" s="54">
        <f>IFERROR(__xludf.DUMMYFUNCTION("""COMPUTED_VALUE"""),46181.0)</f>
        <v>46181</v>
      </c>
      <c r="B753" s="48"/>
      <c r="C753" s="48"/>
      <c r="D753" s="48"/>
      <c r="E753" s="53" t="str">
        <f>IFERROR(__xludf.DUMMYFUNCTION("""COMPUTED_VALUE"""),"Produção de ata sobre a 4ª Reunião da Diretoria ")</f>
        <v>Produção de ata sobre a 4ª Reunião da Diretoria </v>
      </c>
    </row>
    <row r="754">
      <c r="A754" s="54">
        <f>IFERROR(__xludf.DUMMYFUNCTION("""COMPUTED_VALUE"""),46181.0)</f>
        <v>46181</v>
      </c>
      <c r="B754" s="48"/>
      <c r="C754" s="48"/>
      <c r="D754" s="48"/>
      <c r="E754" s="53" t="str">
        <f>IFERROR(__xludf.DUMMYFUNCTION("""COMPUTED_VALUE"""),"Reunião da CIPA às 14h30 ")</f>
        <v>Reunião da CIPA às 14h30 </v>
      </c>
    </row>
    <row r="755">
      <c r="A755" s="54">
        <f>IFERROR(__xludf.DUMMYFUNCTION("""COMPUTED_VALUE"""),46181.0)</f>
        <v>46181</v>
      </c>
      <c r="B755" s="48"/>
      <c r="C755" s="48"/>
      <c r="D755" s="48"/>
      <c r="E755" s="53" t="str">
        <f>IFERROR(__xludf.DUMMYFUNCTION("""COMPUTED_VALUE"""),"Inspeção de Segurança (Mundaú)")</f>
        <v>Inspeção de Segurança (Mundaú)</v>
      </c>
    </row>
    <row r="756">
      <c r="A756" s="54">
        <f>IFERROR(__xludf.DUMMYFUNCTION("""COMPUTED_VALUE"""),46181.0)</f>
        <v>46181</v>
      </c>
      <c r="B756" s="48"/>
      <c r="C756" s="48"/>
      <c r="D756" s="48"/>
      <c r="E756" s="53" t="str">
        <f>IFERROR(__xludf.DUMMYFUNCTION("""COMPUTED_VALUE"""),"Faturamento (Coleta das leituras dos hidrômetros)")</f>
        <v>Faturamento (Coleta das leituras dos hidrômetros)</v>
      </c>
    </row>
    <row r="757">
      <c r="A757" s="54">
        <f>IFERROR(__xludf.DUMMYFUNCTION("""COMPUTED_VALUE"""),46182.0)</f>
        <v>46182</v>
      </c>
      <c r="B757" s="48"/>
      <c r="C757" s="48"/>
      <c r="D757" s="48"/>
      <c r="E757" s="53" t="str">
        <f>IFERROR(__xludf.DUMMYFUNCTION("""COMPUTED_VALUE"""),"Reunião do Conselho de Administração da Cogerh")</f>
        <v>Reunião do Conselho de Administração da Cogerh</v>
      </c>
    </row>
    <row r="758">
      <c r="A758" s="54">
        <f>IFERROR(__xludf.DUMMYFUNCTION("""COMPUTED_VALUE"""),46182.0)</f>
        <v>46182</v>
      </c>
      <c r="B758" s="48"/>
      <c r="C758" s="48"/>
      <c r="D758" s="48"/>
      <c r="E758" s="53" t="str">
        <f>IFERROR(__xludf.DUMMYFUNCTION("""COMPUTED_VALUE"""),"3ª Oficina do Plano de Secas do Hidrossistema Poço Verde")</f>
        <v>3ª Oficina do Plano de Secas do Hidrossistema Poço Verde</v>
      </c>
    </row>
    <row r="759">
      <c r="A759" s="54">
        <f>IFERROR(__xludf.DUMMYFUNCTION("""COMPUTED_VALUE"""),46182.0)</f>
        <v>46182</v>
      </c>
      <c r="B759" s="48"/>
      <c r="C759" s="48"/>
      <c r="D759" s="48"/>
      <c r="E759" s="53" t="str">
        <f>IFERROR(__xludf.DUMMYFUNCTION("""COMPUTED_VALUE"""),"Publicação de matéria sobre a 3ª Oficina do Plano de Secas do Hidrosisstema Poço Verde")</f>
        <v>Publicação de matéria sobre a 3ª Oficina do Plano de Secas do Hidrosisstema Poço Verde</v>
      </c>
    </row>
    <row r="760">
      <c r="A760" s="54">
        <f>IFERROR(__xludf.DUMMYFUNCTION("""COMPUTED_VALUE"""),46182.0)</f>
        <v>46182</v>
      </c>
      <c r="B760" s="48"/>
      <c r="C760" s="48"/>
      <c r="D760" s="48"/>
      <c r="E760" s="53" t="str">
        <f>IFERROR(__xludf.DUMMYFUNCTION("""COMPUTED_VALUE"""),"Produção de relatório sobre a 3ª Oficina do Plano de Secas do Hidrossitema Poço Verde")</f>
        <v>Produção de relatório sobre a 3ª Oficina do Plano de Secas do Hidrossitema Poço Verde</v>
      </c>
    </row>
    <row r="761">
      <c r="A761" s="54">
        <f>IFERROR(__xludf.DUMMYFUNCTION("""COMPUTED_VALUE"""),46182.0)</f>
        <v>46182</v>
      </c>
      <c r="B761" s="48"/>
      <c r="C761" s="48"/>
      <c r="D761" s="48"/>
      <c r="E761" s="53" t="str">
        <f>IFERROR(__xludf.DUMMYFUNCTION("""COMPUTED_VALUE"""),"Revisão da Ficha de Inspeção do açude Mundaú e inserção dos dados no SIGERH")</f>
        <v>Revisão da Ficha de Inspeção do açude Mundaú e inserção dos dados no SIGERH</v>
      </c>
    </row>
    <row r="762">
      <c r="A762" s="54">
        <f>IFERROR(__xludf.DUMMYFUNCTION("""COMPUTED_VALUE"""),46182.0)</f>
        <v>46182</v>
      </c>
      <c r="B762" s="48"/>
      <c r="C762" s="48"/>
      <c r="D762" s="48"/>
      <c r="E762" s="53" t="str">
        <f>IFERROR(__xludf.DUMMYFUNCTION("""COMPUTED_VALUE"""),"Batimetria do açude Mundaú")</f>
        <v>Batimetria do açude Mundaú</v>
      </c>
    </row>
    <row r="763">
      <c r="A763" s="54">
        <f>IFERROR(__xludf.DUMMYFUNCTION("""COMPUTED_VALUE"""),46183.0)</f>
        <v>46183</v>
      </c>
      <c r="B763" s="48"/>
      <c r="C763" s="48"/>
      <c r="D763" s="48"/>
      <c r="E763" s="53" t="str">
        <f>IFERROR(__xludf.DUMMYFUNCTION("""COMPUTED_VALUE"""),"Mobilização para a 75ª Reunião Ordinária (Itapipoca, Miraíma, Tremembés e Irauçuba)")</f>
        <v>Mobilização para a 75ª Reunião Ordinária (Itapipoca, Miraíma, Tremembés e Irauçuba)</v>
      </c>
    </row>
    <row r="764">
      <c r="A764" s="54">
        <f>IFERROR(__xludf.DUMMYFUNCTION("""COMPUTED_VALUE"""),46183.0)</f>
        <v>46183</v>
      </c>
      <c r="B764" s="48"/>
      <c r="C764" s="48"/>
      <c r="D764" s="48"/>
      <c r="E764" s="53" t="str">
        <f>IFERROR(__xludf.DUMMYFUNCTION("""COMPUTED_VALUE"""),"Mobilização para 75ª Reunião Ordinária (Itarema / Acaraú)")</f>
        <v>Mobilização para 75ª Reunião Ordinária (Itarema / Acaraú)</v>
      </c>
    </row>
    <row r="765">
      <c r="A765" s="54">
        <f>IFERROR(__xludf.DUMMYFUNCTION("""COMPUTED_VALUE"""),46183.0)</f>
        <v>46183</v>
      </c>
      <c r="B765" s="48"/>
      <c r="C765" s="48"/>
      <c r="D765" s="48"/>
      <c r="E765" s="53" t="str">
        <f>IFERROR(__xludf.DUMMYFUNCTION("""COMPUTED_VALUE"""),"Produção de matéria sobre a 3ª Reunião Ordinária do FCCBH")</f>
        <v>Produção de matéria sobre a 3ª Reunião Ordinária do FCCBH</v>
      </c>
    </row>
    <row r="766">
      <c r="A766" s="54">
        <f>IFERROR(__xludf.DUMMYFUNCTION("""COMPUTED_VALUE"""),46183.0)</f>
        <v>46183</v>
      </c>
      <c r="B766" s="48"/>
      <c r="C766" s="48"/>
      <c r="D766" s="48"/>
      <c r="E766" s="53" t="str">
        <f>IFERROR(__xludf.DUMMYFUNCTION("""COMPUTED_VALUE"""),"Inspeção de Segurança (São Pedro da Timbaúba)")</f>
        <v>Inspeção de Segurança (São Pedro da Timbaúba)</v>
      </c>
    </row>
    <row r="767">
      <c r="A767" s="54">
        <f>IFERROR(__xludf.DUMMYFUNCTION("""COMPUTED_VALUE"""),46183.0)</f>
        <v>46183</v>
      </c>
      <c r="B767" s="48"/>
      <c r="C767" s="48"/>
      <c r="D767" s="48"/>
      <c r="E767" s="53" t="str">
        <f>IFERROR(__xludf.DUMMYFUNCTION("""COMPUTED_VALUE"""),"Batimetria do açude Mundaú")</f>
        <v>Batimetria do açude Mundaú</v>
      </c>
    </row>
    <row r="768">
      <c r="A768" s="54">
        <f>IFERROR(__xludf.DUMMYFUNCTION("""COMPUTED_VALUE"""),46183.0)</f>
        <v>46183</v>
      </c>
      <c r="B768" s="48"/>
      <c r="C768" s="48"/>
      <c r="D768" s="48"/>
      <c r="E768" s="53" t="str">
        <f>IFERROR(__xludf.DUMMYFUNCTION("""COMPUTED_VALUE"""),"Faturamento (Atualizar dados do faturamento no sistema)")</f>
        <v>Faturamento (Atualizar dados do faturamento no sistema)</v>
      </c>
    </row>
    <row r="769">
      <c r="A769" s="54">
        <f>IFERROR(__xludf.DUMMYFUNCTION("""COMPUTED_VALUE"""),46183.0)</f>
        <v>46183</v>
      </c>
      <c r="B769" s="48"/>
      <c r="C769" s="48"/>
      <c r="D769" s="48"/>
      <c r="E769" s="53" t="str">
        <f>IFERROR(__xludf.DUMMYFUNCTION("""COMPUTED_VALUE"""),"Envio dos dados da batimetria do açude Mundaú à GEMON")</f>
        <v>Envio dos dados da batimetria do açude Mundaú à GEMON</v>
      </c>
    </row>
    <row r="770">
      <c r="A770" s="54">
        <f>IFERROR(__xludf.DUMMYFUNCTION("""COMPUTED_VALUE"""),46183.0)</f>
        <v>46183</v>
      </c>
      <c r="B770" s="48"/>
      <c r="C770" s="48"/>
      <c r="D770" s="48"/>
      <c r="E770" s="53" t="str">
        <f>IFERROR(__xludf.DUMMYFUNCTION("""COMPUTED_VALUE"""),"Produção do relatório do Indicador de Instalação e Manutenção de Medidores")</f>
        <v>Produção do relatório do Indicador de Instalação e Manutenção de Medidores</v>
      </c>
    </row>
    <row r="771">
      <c r="A771" s="54">
        <f>IFERROR(__xludf.DUMMYFUNCTION("""COMPUTED_VALUE"""),46184.0)</f>
        <v>46184</v>
      </c>
      <c r="B771" s="48"/>
      <c r="C771" s="48"/>
      <c r="D771" s="48"/>
      <c r="E771" s="53" t="str">
        <f>IFERROR(__xludf.DUMMYFUNCTION("""COMPUTED_VALUE"""),"Solicitar apoio logístico para Erandir - reunião do FCCBH (PROCOMITÊ)")</f>
        <v>Solicitar apoio logístico para Erandir - reunião do FCCBH (PROCOMITÊ)</v>
      </c>
    </row>
    <row r="772">
      <c r="A772" s="54">
        <f>IFERROR(__xludf.DUMMYFUNCTION("""COMPUTED_VALUE"""),46184.0)</f>
        <v>46184</v>
      </c>
      <c r="B772" s="48"/>
      <c r="C772" s="48"/>
      <c r="D772" s="48"/>
      <c r="E772" s="53" t="str">
        <f>IFERROR(__xludf.DUMMYFUNCTION("""COMPUTED_VALUE"""),"Publicação de aniversário de Raimundo Ribeiro Sales")</f>
        <v>Publicação de aniversário de Raimundo Ribeiro Sales</v>
      </c>
    </row>
    <row r="773">
      <c r="A773" s="54">
        <f>IFERROR(__xludf.DUMMYFUNCTION("""COMPUTED_VALUE"""),46184.0)</f>
        <v>46184</v>
      </c>
      <c r="B773" s="48"/>
      <c r="C773" s="48"/>
      <c r="D773" s="48"/>
      <c r="E773" s="53" t="str">
        <f>IFERROR(__xludf.DUMMYFUNCTION("""COMPUTED_VALUE"""),"Mobilização para 75ª Reunião Ordinária (Morrinhos/Santana do Acaraú/Amontada)")</f>
        <v>Mobilização para 75ª Reunião Ordinária (Morrinhos/Santana do Acaraú/Amontada)</v>
      </c>
    </row>
    <row r="774">
      <c r="A774" s="54">
        <f>IFERROR(__xludf.DUMMYFUNCTION("""COMPUTED_VALUE"""),46184.0)</f>
        <v>46184</v>
      </c>
      <c r="B774" s="48"/>
      <c r="C774" s="48"/>
      <c r="D774" s="48"/>
      <c r="E774" s="53" t="str">
        <f>IFERROR(__xludf.DUMMYFUNCTION("""COMPUTED_VALUE"""),"Providenciar atividades programadas para o mês de julho")</f>
        <v>Providenciar atividades programadas para o mês de julho</v>
      </c>
    </row>
    <row r="775">
      <c r="A775" s="54">
        <f>IFERROR(__xludf.DUMMYFUNCTION("""COMPUTED_VALUE"""),46184.0)</f>
        <v>46184</v>
      </c>
      <c r="B775" s="48"/>
      <c r="C775" s="48"/>
      <c r="D775" s="48"/>
      <c r="E775" s="53" t="str">
        <f>IFERROR(__xludf.DUMMYFUNCTION("""COMPUTED_VALUE"""),"Inspeção de Segurança e Medição de Vazão (Patos e Santo Antonio de Aracatiaçu)")</f>
        <v>Inspeção de Segurança e Medição de Vazão (Patos e Santo Antonio de Aracatiaçu)</v>
      </c>
    </row>
    <row r="776">
      <c r="A776" s="54">
        <f>IFERROR(__xludf.DUMMYFUNCTION("""COMPUTED_VALUE"""),46185.0)</f>
        <v>46185</v>
      </c>
      <c r="B776" s="48"/>
      <c r="C776" s="48"/>
      <c r="D776" s="48"/>
      <c r="E776" s="53" t="str">
        <f>IFERROR(__xludf.DUMMYFUNCTION("""COMPUTED_VALUE"""),"Mobilização para 75ª Reunião Ordinária")</f>
        <v>Mobilização para 75ª Reunião Ordinária</v>
      </c>
    </row>
    <row r="777">
      <c r="A777" s="54">
        <f>IFERROR(__xludf.DUMMYFUNCTION("""COMPUTED_VALUE"""),46185.0)</f>
        <v>46185</v>
      </c>
      <c r="B777" s="48"/>
      <c r="C777" s="48"/>
      <c r="D777" s="48"/>
      <c r="E777" s="53" t="str">
        <f>IFERROR(__xludf.DUMMYFUNCTION("""COMPUTED_VALUE"""),"Mobilização para 75ª Reunião Ordinária")</f>
        <v>Mobilização para 75ª Reunião Ordinária</v>
      </c>
    </row>
    <row r="778">
      <c r="A778" s="54">
        <f>IFERROR(__xludf.DUMMYFUNCTION("""COMPUTED_VALUE"""),46185.0)</f>
        <v>46185</v>
      </c>
      <c r="B778" s="48"/>
      <c r="C778" s="48"/>
      <c r="D778" s="48"/>
      <c r="E778" s="53" t="str">
        <f>IFERROR(__xludf.DUMMYFUNCTION("""COMPUTED_VALUE"""),"Atualização das planilhas da Gestão Participativa e Gerência Regional com atividades programadas da semana")</f>
        <v>Atualização das planilhas da Gestão Participativa e Gerência Regional com atividades programadas da semana</v>
      </c>
    </row>
    <row r="779">
      <c r="A779" s="54">
        <f>IFERROR(__xludf.DUMMYFUNCTION("""COMPUTED_VALUE"""),46185.0)</f>
        <v>46185</v>
      </c>
      <c r="B779" s="48"/>
      <c r="C779" s="48"/>
      <c r="D779" s="48"/>
      <c r="E779" s="53" t="str">
        <f>IFERROR(__xludf.DUMMYFUNCTION("""COMPUTED_VALUE"""),"Vistoria para captação de novos usuários de água")</f>
        <v>Vistoria para captação de novos usuários de água</v>
      </c>
    </row>
    <row r="780">
      <c r="A780" s="54">
        <f>IFERROR(__xludf.DUMMYFUNCTION("""COMPUTED_VALUE"""),46185.0)</f>
        <v>46185</v>
      </c>
      <c r="B780" s="48"/>
      <c r="C780" s="48"/>
      <c r="D780" s="48"/>
      <c r="E780" s="53" t="str">
        <f>IFERROR(__xludf.DUMMYFUNCTION("""COMPUTED_VALUE"""),"Revisão da Ficha de Inspeção dos açudes Patos e Santo Antonio de Aracatiaçu e inserção dos dados no SIGERH")</f>
        <v>Revisão da Ficha de Inspeção dos açudes Patos e Santo Antonio de Aracatiaçu e inserção dos dados no SIGERH</v>
      </c>
    </row>
    <row r="781">
      <c r="A781" s="54">
        <f>IFERROR(__xludf.DUMMYFUNCTION("""COMPUTED_VALUE"""),46185.0)</f>
        <v>46185</v>
      </c>
      <c r="B781" s="48"/>
      <c r="C781" s="48"/>
      <c r="D781" s="48"/>
      <c r="E781" s="53" t="str">
        <f>IFERROR(__xludf.DUMMYFUNCTION("""COMPUTED_VALUE"""),"Revisão da Ficha de Inspeção do açude São Pedro da Timbaúba e inserção dos dados no SIGERH")</f>
        <v>Revisão da Ficha de Inspeção do açude São Pedro da Timbaúba e inserção dos dados no SIGERH</v>
      </c>
    </row>
    <row r="782">
      <c r="A782" s="54">
        <f>IFERROR(__xludf.DUMMYFUNCTION("""COMPUTED_VALUE"""),46185.0)</f>
        <v>46185</v>
      </c>
      <c r="B782" s="48"/>
      <c r="C782" s="48"/>
      <c r="D782" s="48"/>
      <c r="E782" s="53" t="str">
        <f>IFERROR(__xludf.DUMMYFUNCTION("""COMPUTED_VALUE"""),"Atualização dos dados de Captação e Perenização no SIGERH")</f>
        <v>Atualização dos dados de Captação e Perenização no SIGERH</v>
      </c>
    </row>
    <row r="783">
      <c r="A783" s="54">
        <f>IFERROR(__xludf.DUMMYFUNCTION("""COMPUTED_VALUE"""),46185.0)</f>
        <v>46185</v>
      </c>
      <c r="B783" s="48"/>
      <c r="C783" s="48"/>
      <c r="D783" s="48"/>
      <c r="E783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784">
      <c r="A784" s="48"/>
      <c r="B784" s="48"/>
      <c r="C784" s="48"/>
      <c r="D784" s="48"/>
      <c r="E784" s="48"/>
    </row>
    <row r="785">
      <c r="A785" s="54">
        <f>IFERROR(__xludf.DUMMYFUNCTION("""COMPUTED_VALUE"""),46186.0)</f>
        <v>46186</v>
      </c>
      <c r="B785" s="48"/>
      <c r="C785" s="48"/>
      <c r="D785" s="48"/>
      <c r="E785" s="48"/>
    </row>
    <row r="786">
      <c r="A786" s="48" t="str">
        <f>IFERROR(__xludf.DUMMYFUNCTION("""COMPUTED_VALUE"""),"14//06/2026")</f>
        <v>14//06/2026</v>
      </c>
      <c r="B786" s="48"/>
      <c r="C786" s="48"/>
      <c r="D786" s="48"/>
      <c r="E786" s="48"/>
    </row>
    <row r="787">
      <c r="A787" s="54">
        <f>IFERROR(__xludf.DUMMYFUNCTION("""COMPUTED_VALUE"""),46188.0)</f>
        <v>46188</v>
      </c>
      <c r="B787" s="48"/>
      <c r="C787" s="48"/>
      <c r="D787" s="48"/>
      <c r="E787" s="53" t="str">
        <f>IFERROR(__xludf.DUMMYFUNCTION("""COMPUTED_VALUE"""),"Reunião de alinhamento com a GEDEP")</f>
        <v>Reunião de alinhamento com a GEDEP</v>
      </c>
    </row>
    <row r="788">
      <c r="A788" s="54">
        <f>IFERROR(__xludf.DUMMYFUNCTION("""COMPUTED_VALUE"""),46188.0)</f>
        <v>46188</v>
      </c>
      <c r="B788" s="48"/>
      <c r="C788" s="48"/>
      <c r="D788" s="48"/>
      <c r="E788" s="53" t="str">
        <f>IFERROR(__xludf.DUMMYFUNCTION("""COMPUTED_VALUE"""),"Apoio Logístico para Erandir participar do FCCBH")</f>
        <v>Apoio Logístico para Erandir participar do FCCBH</v>
      </c>
    </row>
    <row r="789">
      <c r="A789" s="54">
        <f>IFERROR(__xludf.DUMMYFUNCTION("""COMPUTED_VALUE"""),46188.0)</f>
        <v>46188</v>
      </c>
      <c r="B789" s="48"/>
      <c r="C789" s="48"/>
      <c r="D789" s="48"/>
      <c r="E789" s="53" t="str">
        <f>IFERROR(__xludf.DUMMYFUNCTION("""COMPUTED_VALUE"""),"Mobilização para reunião de alocação do açude Patos")</f>
        <v>Mobilização para reunião de alocação do açude Patos</v>
      </c>
    </row>
    <row r="790">
      <c r="A790" s="54">
        <f>IFERROR(__xludf.DUMMYFUNCTION("""COMPUTED_VALUE"""),46188.0)</f>
        <v>46188</v>
      </c>
      <c r="B790" s="48"/>
      <c r="C790" s="48"/>
      <c r="D790" s="48"/>
      <c r="E790" s="53" t="str">
        <f>IFERROR(__xludf.DUMMYFUNCTION("""COMPUTED_VALUE"""),"Mobilização para reunião de alocação do açude Santo Antônio de Aracatiaçu")</f>
        <v>Mobilização para reunião de alocação do açude Santo Antônio de Aracatiaçu</v>
      </c>
    </row>
    <row r="791">
      <c r="A791" s="54">
        <f>IFERROR(__xludf.DUMMYFUNCTION("""COMPUTED_VALUE"""),46188.0)</f>
        <v>46188</v>
      </c>
      <c r="B791" s="48"/>
      <c r="C791" s="48"/>
      <c r="D791" s="48"/>
      <c r="E791" s="53" t="str">
        <f>IFERROR(__xludf.DUMMYFUNCTION("""COMPUTED_VALUE"""),"21ª Reunião da Brigada de Emergência às 14h")</f>
        <v>21ª Reunião da Brigada de Emergência às 14h</v>
      </c>
    </row>
    <row r="792">
      <c r="A792" s="54">
        <f>IFERROR(__xludf.DUMMYFUNCTION("""COMPUTED_VALUE"""),46188.0)</f>
        <v>46188</v>
      </c>
      <c r="B792" s="48"/>
      <c r="C792" s="48"/>
      <c r="D792" s="48"/>
      <c r="E792" s="53" t="str">
        <f>IFERROR(__xludf.DUMMYFUNCTION("""COMPUTED_VALUE"""),"Calibração da Sonda para as Coletas")</f>
        <v>Calibração da Sonda para as Coletas</v>
      </c>
    </row>
    <row r="793">
      <c r="A793" s="54">
        <f>IFERROR(__xludf.DUMMYFUNCTION("""COMPUTED_VALUE"""),46188.0)</f>
        <v>46188</v>
      </c>
      <c r="B793" s="48"/>
      <c r="C793" s="48"/>
      <c r="D793" s="48"/>
      <c r="E793" s="53" t="str">
        <f>IFERROR(__xludf.DUMMYFUNCTION("""COMPUTED_VALUE"""),"Vistoria para captação de novos usuários de água")</f>
        <v>Vistoria para captação de novos usuários de água</v>
      </c>
    </row>
    <row r="794">
      <c r="A794" s="54">
        <f>IFERROR(__xludf.DUMMYFUNCTION("""COMPUTED_VALUE"""),46188.0)</f>
        <v>46188</v>
      </c>
      <c r="B794" s="48"/>
      <c r="C794" s="48"/>
      <c r="D794" s="48"/>
      <c r="E794" s="53" t="str">
        <f>IFERROR(__xludf.DUMMYFUNCTION("""COMPUTED_VALUE"""),"Instrumentação do açude Missi (Piezômetros)")</f>
        <v>Instrumentação do açude Missi (Piezômetros)</v>
      </c>
    </row>
    <row r="795">
      <c r="A795" s="54">
        <f>IFERROR(__xludf.DUMMYFUNCTION("""COMPUTED_VALUE"""),46189.0)</f>
        <v>46189</v>
      </c>
      <c r="B795" s="48"/>
      <c r="C795" s="48"/>
      <c r="D795" s="48"/>
      <c r="E795" s="53" t="str">
        <f>IFERROR(__xludf.DUMMYFUNCTION("""COMPUTED_VALUE"""),"Publicação de aniversário de Nádria Suelen Carneiro de Santana ")</f>
        <v>Publicação de aniversário de Nádria Suelen Carneiro de Santana </v>
      </c>
    </row>
    <row r="796">
      <c r="A796" s="54">
        <f>IFERROR(__xludf.DUMMYFUNCTION("""COMPUTED_VALUE"""),46189.0)</f>
        <v>46189</v>
      </c>
      <c r="B796" s="48"/>
      <c r="C796" s="48"/>
      <c r="D796" s="48"/>
      <c r="E796" s="53" t="str">
        <f>IFERROR(__xludf.DUMMYFUNCTION("""COMPUTED_VALUE"""),"3ª Reunião Ordinária do FCCBH")</f>
        <v>3ª Reunião Ordinária do FCCBH</v>
      </c>
    </row>
    <row r="797">
      <c r="A797" s="55">
        <f>IFERROR(__xludf.DUMMYFUNCTION("""COMPUTED_VALUE"""),46189.0)</f>
        <v>46189</v>
      </c>
      <c r="B797" s="48"/>
      <c r="C797" s="48"/>
      <c r="D797" s="48"/>
      <c r="E797" s="53" t="str">
        <f>IFERROR(__xludf.DUMMYFUNCTION("""COMPUTED_VALUE"""),"Cobertura da 3ª Reunião Ordinária do FCCBH ")</f>
        <v>Cobertura da 3ª Reunião Ordinária do FCCBH </v>
      </c>
    </row>
    <row r="798">
      <c r="A798" s="55">
        <f>IFERROR(__xludf.DUMMYFUNCTION("""COMPUTED_VALUE"""),46189.0)</f>
        <v>46189</v>
      </c>
      <c r="B798" s="48"/>
      <c r="C798" s="48"/>
      <c r="D798" s="48"/>
      <c r="E798" s="53" t="str">
        <f>IFERROR(__xludf.DUMMYFUNCTION("""COMPUTED_VALUE"""),"Inserir dados das variações de consumo na planilha")</f>
        <v>Inserir dados das variações de consumo na planilha</v>
      </c>
    </row>
    <row r="799">
      <c r="A799" s="54">
        <f>IFERROR(__xludf.DUMMYFUNCTION("""COMPUTED_VALUE"""),46189.0)</f>
        <v>46189</v>
      </c>
      <c r="B799" s="48"/>
      <c r="C799" s="48"/>
      <c r="D799" s="48"/>
      <c r="E799" s="53" t="str">
        <f>IFERROR(__xludf.DUMMYFUNCTION("""COMPUTED_VALUE"""),"Medição comparativa na Dass")</f>
        <v>Medição comparativa na Dass</v>
      </c>
    </row>
    <row r="800">
      <c r="A800" s="54">
        <f>IFERROR(__xludf.DUMMYFUNCTION("""COMPUTED_VALUE"""),46190.0)</f>
        <v>46190</v>
      </c>
      <c r="B800" s="48"/>
      <c r="C800" s="48"/>
      <c r="D800" s="48"/>
      <c r="E800" s="53" t="str">
        <f>IFERROR(__xludf.DUMMYFUNCTION("""COMPUTED_VALUE"""),"3ª Reunião Ordinária do FCCBH")</f>
        <v>3ª Reunião Ordinária do FCCBH</v>
      </c>
    </row>
    <row r="801">
      <c r="A801" s="54">
        <f>IFERROR(__xludf.DUMMYFUNCTION("""COMPUTED_VALUE"""),46190.0)</f>
        <v>46190</v>
      </c>
      <c r="B801" s="48"/>
      <c r="C801" s="48"/>
      <c r="D801" s="48"/>
      <c r="E801" s="53" t="str">
        <f>IFERROR(__xludf.DUMMYFUNCTION("""COMPUTED_VALUE"""),"Cobertura da 3ª Reunião Ordinária do FCCBH ")</f>
        <v>Cobertura da 3ª Reunião Ordinária do FCCBH </v>
      </c>
    </row>
    <row r="802">
      <c r="A802" s="54">
        <f>IFERROR(__xludf.DUMMYFUNCTION("""COMPUTED_VALUE"""),46190.0)</f>
        <v>46190</v>
      </c>
      <c r="B802" s="48"/>
      <c r="C802" s="48"/>
      <c r="D802" s="48"/>
      <c r="E802" s="53" t="str">
        <f>IFERROR(__xludf.DUMMYFUNCTION("""COMPUTED_VALUE""")," Publicação de matéria sobre a 3ª Reunião Ordinária do FCCBH")</f>
        <v> Publicação de matéria sobre a 3ª Reunião Ordinária do FCCBH</v>
      </c>
    </row>
    <row r="803">
      <c r="A803" s="54">
        <f>IFERROR(__xludf.DUMMYFUNCTION("""COMPUTED_VALUE"""),46190.0)</f>
        <v>46190</v>
      </c>
      <c r="B803" s="48"/>
      <c r="C803" s="48"/>
      <c r="D803" s="48"/>
      <c r="E803" s="53" t="str">
        <f>IFERROR(__xludf.DUMMYFUNCTION("""COMPUTED_VALUE"""),"Publicar story do Dia Mundial de Combate a Desertificação e á Seca")</f>
        <v>Publicar story do Dia Mundial de Combate a Desertificação e á Seca</v>
      </c>
    </row>
    <row r="804">
      <c r="A804" s="54">
        <f>IFERROR(__xludf.DUMMYFUNCTION("""COMPUTED_VALUE"""),46190.0)</f>
        <v>46190</v>
      </c>
      <c r="B804" s="48"/>
      <c r="C804" s="48"/>
      <c r="D804" s="48"/>
      <c r="E804" s="53" t="str">
        <f>IFERROR(__xludf.DUMMYFUNCTION("""COMPUTED_VALUE"""),"Vistoria e relatório técnico de situação do trecho Mundaú com foco no trecho Tururu-Cemoaba (Demanda do Secretário)")</f>
        <v>Vistoria e relatório técnico de situação do trecho Mundaú com foco no trecho Tururu-Cemoaba (Demanda do Secretário)</v>
      </c>
    </row>
    <row r="805">
      <c r="A805" s="54">
        <f>IFERROR(__xludf.DUMMYFUNCTION("""COMPUTED_VALUE"""),46191.0)</f>
        <v>46191</v>
      </c>
      <c r="B805" s="48"/>
      <c r="C805" s="48"/>
      <c r="D805" s="48"/>
      <c r="E805" s="53" t="str">
        <f>IFERROR(__xludf.DUMMYFUNCTION("""COMPUTED_VALUE"""),"Mobilização para reunião de alocação do açude Poço Verde ")</f>
        <v>Mobilização para reunião de alocação do açude Poço Verde </v>
      </c>
    </row>
    <row r="806">
      <c r="A806" s="54">
        <f>IFERROR(__xludf.DUMMYFUNCTION("""COMPUTED_VALUE"""),46191.0)</f>
        <v>46191</v>
      </c>
      <c r="B806" s="48"/>
      <c r="C806" s="48"/>
      <c r="D806" s="48"/>
      <c r="E806" s="53" t="str">
        <f>IFERROR(__xludf.DUMMYFUNCTION("""COMPUTED_VALUE"""),"Mobilização para reunião de alocação do açude Quandu")</f>
        <v>Mobilização para reunião de alocação do açude Quandu</v>
      </c>
    </row>
    <row r="807">
      <c r="A807" s="54">
        <f>IFERROR(__xludf.DUMMYFUNCTION("""COMPUTED_VALUE"""),46191.0)</f>
        <v>46191</v>
      </c>
      <c r="B807" s="48"/>
      <c r="C807" s="48"/>
      <c r="D807" s="48"/>
      <c r="E807" s="53" t="str">
        <f>IFERROR(__xludf.DUMMYFUNCTION("""COMPUTED_VALUE"""),"Confirmar presença para a 75ª Reunião Ordinária do CBH Litoral ")</f>
        <v>Confirmar presença para a 75ª Reunião Ordinária do CBH Litoral </v>
      </c>
    </row>
    <row r="808">
      <c r="A808" s="54">
        <f>IFERROR(__xludf.DUMMYFUNCTION("""COMPUTED_VALUE"""),46191.0)</f>
        <v>46191</v>
      </c>
      <c r="B808" s="48"/>
      <c r="C808" s="48"/>
      <c r="D808" s="48"/>
      <c r="E808" s="53" t="str">
        <f>IFERROR(__xludf.DUMMYFUNCTION("""COMPUTED_VALUE"""),"Produção de matéria sobre a 75ª Reunião Ordinária do CBH Litoral")</f>
        <v>Produção de matéria sobre a 75ª Reunião Ordinária do CBH Litoral</v>
      </c>
    </row>
    <row r="809">
      <c r="A809" s="54">
        <f>IFERROR(__xludf.DUMMYFUNCTION("""COMPUTED_VALUE"""),46191.0)</f>
        <v>46191</v>
      </c>
      <c r="B809" s="48"/>
      <c r="C809" s="48"/>
      <c r="D809" s="48"/>
      <c r="E809" s="53" t="str">
        <f>IFERROR(__xludf.DUMMYFUNCTION("""COMPUTED_VALUE"""),"Coleta para Análise Qualitativa da Água (Missi e São Pedro)")</f>
        <v>Coleta para Análise Qualitativa da Água (Missi e São Pedro)</v>
      </c>
    </row>
    <row r="810">
      <c r="A810" s="54">
        <f>IFERROR(__xludf.DUMMYFUNCTION("""COMPUTED_VALUE"""),46191.0)</f>
        <v>46191</v>
      </c>
      <c r="B810" s="48"/>
      <c r="C810" s="48"/>
      <c r="D810" s="48"/>
      <c r="E810" s="53" t="str">
        <f>IFERROR(__xludf.DUMMYFUNCTION("""COMPUTED_VALUE"""),"Atualização da planilha do indicador de Fiscalizações e Produção de relatórios de Vistoria em Usuários")</f>
        <v>Atualização da planilha do indicador de Fiscalizações e Produção de relatórios de Vistoria em Usuários</v>
      </c>
    </row>
    <row r="811">
      <c r="A811" s="54">
        <f>IFERROR(__xludf.DUMMYFUNCTION("""COMPUTED_VALUE"""),46192.0)</f>
        <v>46192</v>
      </c>
      <c r="B811" s="48"/>
      <c r="C811" s="48"/>
      <c r="D811" s="48"/>
      <c r="E811" s="53" t="str">
        <f>IFERROR(__xludf.DUMMYFUNCTION("""COMPUTED_VALUE"""),"Organizar logística para a 75ª Reunião Ordinária")</f>
        <v>Organizar logística para a 75ª Reunião Ordinária</v>
      </c>
    </row>
    <row r="812">
      <c r="A812" s="54">
        <f>IFERROR(__xludf.DUMMYFUNCTION("""COMPUTED_VALUE"""),46192.0)</f>
        <v>46192</v>
      </c>
      <c r="B812" s="48"/>
      <c r="C812" s="48"/>
      <c r="D812" s="48"/>
      <c r="E812" s="53" t="str">
        <f>IFERROR(__xludf.DUMMYFUNCTION("""COMPUTED_VALUE"""),"Mobilização para reunião de alocação do açude Gameleira")</f>
        <v>Mobilização para reunião de alocação do açude Gameleira</v>
      </c>
    </row>
    <row r="813">
      <c r="A813" s="54">
        <f>IFERROR(__xludf.DUMMYFUNCTION("""COMPUTED_VALUE"""),46192.0)</f>
        <v>46192</v>
      </c>
      <c r="B813" s="48"/>
      <c r="C813" s="48"/>
      <c r="D813" s="48"/>
      <c r="E813" s="53" t="str">
        <f>IFERROR(__xludf.DUMMYFUNCTION("""COMPUTED_VALUE"""),"Mobilização para reunião de alocação do açude Missi")</f>
        <v>Mobilização para reunião de alocação do açude Missi</v>
      </c>
    </row>
    <row r="814">
      <c r="A814" s="54">
        <f>IFERROR(__xludf.DUMMYFUNCTION("""COMPUTED_VALUE"""),46192.0)</f>
        <v>46192</v>
      </c>
      <c r="B814" s="48"/>
      <c r="C814" s="48"/>
      <c r="D814" s="48"/>
      <c r="E814" s="53" t="str">
        <f>IFERROR(__xludf.DUMMYFUNCTION("""COMPUTED_VALUE"""),"Atualização das planilhas da Gestão Participativa e Gerência Regional com atividades programadas da semana")</f>
        <v>Atualização das planilhas da Gestão Participativa e Gerência Regional com atividades programadas da semana</v>
      </c>
    </row>
    <row r="815">
      <c r="A815" s="54">
        <f>IFERROR(__xludf.DUMMYFUNCTION("""COMPUTED_VALUE"""),46192.0)</f>
        <v>46192</v>
      </c>
      <c r="B815" s="48"/>
      <c r="C815" s="48"/>
      <c r="D815" s="48"/>
      <c r="E815" s="53" t="str">
        <f>IFERROR(__xludf.DUMMYFUNCTION("""COMPUTED_VALUE"""),"Coleta para Análise Qualitativa da Água (Lagoa das Almécegas)")</f>
        <v>Coleta para Análise Qualitativa da Água (Lagoa das Almécegas)</v>
      </c>
    </row>
    <row r="816">
      <c r="A816" s="54">
        <f>IFERROR(__xludf.DUMMYFUNCTION("""COMPUTED_VALUE"""),46192.0)</f>
        <v>46192</v>
      </c>
      <c r="B816" s="48"/>
      <c r="C816" s="48"/>
      <c r="D816" s="48"/>
      <c r="E816" s="53" t="str">
        <f>IFERROR(__xludf.DUMMYFUNCTION("""COMPUTED_VALUE"""),"Inserir dados das Coletas no SIGERH")</f>
        <v>Inserir dados das Coletas no SIGERH</v>
      </c>
    </row>
    <row r="817">
      <c r="A817" s="54">
        <f>IFERROR(__xludf.DUMMYFUNCTION("""COMPUTED_VALUE"""),46192.0)</f>
        <v>46192</v>
      </c>
      <c r="B817" s="48"/>
      <c r="C817" s="48"/>
      <c r="D817" s="48"/>
      <c r="E817" s="53" t="str">
        <f>IFERROR(__xludf.DUMMYFUNCTION("""COMPUTED_VALUE"""),"Enviar frascos das Coletas aos Correios")</f>
        <v>Enviar frascos das Coletas aos Correios</v>
      </c>
    </row>
    <row r="818">
      <c r="A818" s="54">
        <f>IFERROR(__xludf.DUMMYFUNCTION("""COMPUTED_VALUE"""),46192.0)</f>
        <v>46192</v>
      </c>
      <c r="B818" s="48"/>
      <c r="C818" s="48"/>
      <c r="D818" s="48"/>
      <c r="E818" s="53" t="str">
        <f>IFERROR(__xludf.DUMMYFUNCTION("""COMPUTED_VALUE"""),"Preparar arquivos e equipamentos para batimetria do açude Missi")</f>
        <v>Preparar arquivos e equipamentos para batimetria do açude Missi</v>
      </c>
    </row>
    <row r="819">
      <c r="A819" s="54">
        <f>IFERROR(__xludf.DUMMYFUNCTION("""COMPUTED_VALUE"""),46192.0)</f>
        <v>46192</v>
      </c>
      <c r="B819" s="48"/>
      <c r="C819" s="48"/>
      <c r="D819" s="48"/>
      <c r="E819" s="53" t="str">
        <f>IFERROR(__xludf.DUMMYFUNCTION("""COMPUTED_VALUE"""),"Atualização dos dados de Captação e Perenização no SIGERH")</f>
        <v>Atualização dos dados de Captação e Perenização no SIGERH</v>
      </c>
    </row>
    <row r="820">
      <c r="A820" s="54">
        <f>IFERROR(__xludf.DUMMYFUNCTION("""COMPUTED_VALUE"""),46192.0)</f>
        <v>46192</v>
      </c>
      <c r="B820" s="48"/>
      <c r="C820" s="48"/>
      <c r="D820" s="48"/>
      <c r="E820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821">
      <c r="A821" s="54">
        <f>IFERROR(__xludf.DUMMYFUNCTION("""COMPUTED_VALUE"""),46193.0)</f>
        <v>46193</v>
      </c>
      <c r="B821" s="48"/>
      <c r="C821" s="48"/>
      <c r="D821" s="48"/>
      <c r="E821" s="48"/>
    </row>
    <row r="822">
      <c r="A822" s="54">
        <f>IFERROR(__xludf.DUMMYFUNCTION("""COMPUTED_VALUE"""),46194.0)</f>
        <v>46194</v>
      </c>
      <c r="B822" s="48"/>
      <c r="C822" s="48"/>
      <c r="D822" s="48"/>
      <c r="E822" s="48"/>
    </row>
    <row r="823">
      <c r="A823" s="54">
        <f>IFERROR(__xludf.DUMMYFUNCTION("""COMPUTED_VALUE"""),46195.0)</f>
        <v>46195</v>
      </c>
      <c r="B823" s="48"/>
      <c r="C823" s="48"/>
      <c r="D823" s="48"/>
      <c r="E823" s="53" t="str">
        <f>IFERROR(__xludf.DUMMYFUNCTION("""COMPUTED_VALUE"""),"Organizar documentos para a 75ª Reunião Ordinária do CBH Litoral")</f>
        <v>Organizar documentos para a 75ª Reunião Ordinária do CBH Litoral</v>
      </c>
    </row>
    <row r="824">
      <c r="A824" s="54">
        <f>IFERROR(__xludf.DUMMYFUNCTION("""COMPUTED_VALUE"""),46195.0)</f>
        <v>46195</v>
      </c>
      <c r="B824" s="48"/>
      <c r="C824" s="48"/>
      <c r="D824" s="48"/>
      <c r="E824" s="53" t="str">
        <f>IFERROR(__xludf.DUMMYFUNCTION("""COMPUTED_VALUE"""),"Produção de matéria sobre a alocação negociada do açude Patos")</f>
        <v>Produção de matéria sobre a alocação negociada do açude Patos</v>
      </c>
    </row>
    <row r="825">
      <c r="A825" s="54">
        <f>IFERROR(__xludf.DUMMYFUNCTION("""COMPUTED_VALUE"""),46195.0)</f>
        <v>46195</v>
      </c>
      <c r="B825" s="48"/>
      <c r="C825" s="48"/>
      <c r="D825" s="48"/>
      <c r="E825" s="53" t="str">
        <f>IFERROR(__xludf.DUMMYFUNCTION("""COMPUTED_VALUE"""),"Mobilização para reunião de alocação do açude São Pedro da Timbaúba")</f>
        <v>Mobilização para reunião de alocação do açude São Pedro da Timbaúba</v>
      </c>
    </row>
    <row r="826">
      <c r="A826" s="54">
        <f>IFERROR(__xludf.DUMMYFUNCTION("""COMPUTED_VALUE"""),46195.0)</f>
        <v>46195</v>
      </c>
      <c r="B826" s="48"/>
      <c r="C826" s="48"/>
      <c r="D826" s="48"/>
      <c r="E826" s="53" t="str">
        <f>IFERROR(__xludf.DUMMYFUNCTION("""COMPUTED_VALUE"""),"Mobilização para reunião de alocação do açude Mundaú ")</f>
        <v>Mobilização para reunião de alocação do açude Mundaú </v>
      </c>
    </row>
    <row r="827">
      <c r="A827" s="54">
        <f>IFERROR(__xludf.DUMMYFUNCTION("""COMPUTED_VALUE"""),46195.0)</f>
        <v>46195</v>
      </c>
      <c r="B827" s="48"/>
      <c r="C827" s="48"/>
      <c r="D827" s="48"/>
      <c r="E827" s="53" t="str">
        <f>IFERROR(__xludf.DUMMYFUNCTION("""COMPUTED_VALUE"""),"Batimetria do açude Missi")</f>
        <v>Batimetria do açude Missi</v>
      </c>
    </row>
    <row r="828">
      <c r="A828" s="54">
        <f>IFERROR(__xludf.DUMMYFUNCTION("""COMPUTED_VALUE"""),46195.0)</f>
        <v>46195</v>
      </c>
      <c r="B828" s="48"/>
      <c r="C828" s="48"/>
      <c r="D828" s="48"/>
      <c r="E828" s="53" t="str">
        <f>IFERROR(__xludf.DUMMYFUNCTION("""COMPUTED_VALUE"""),"Medição de Vazão nas captações do açude Quandu e Verificação do trecho do rio Sororô a ser perenizado pelo açude Quandu")</f>
        <v>Medição de Vazão nas captações do açude Quandu e Verificação do trecho do rio Sororô a ser perenizado pelo açude Quandu</v>
      </c>
    </row>
    <row r="829">
      <c r="A829" s="54">
        <f>IFERROR(__xludf.DUMMYFUNCTION("""COMPUTED_VALUE"""),46195.0)</f>
        <v>46195</v>
      </c>
      <c r="B829" s="48"/>
      <c r="C829" s="48"/>
      <c r="D829" s="48"/>
      <c r="E829" s="53" t="str">
        <f>IFERROR(__xludf.DUMMYFUNCTION("""COMPUTED_VALUE"""),"Atualização da planilha do indicador de Fiscalizações e Produção de Relatórios Técnicos de Vistoria em Usuários")</f>
        <v>Atualização da planilha do indicador de Fiscalizações e Produção de Relatórios Técnicos de Vistoria em Usuários</v>
      </c>
    </row>
    <row r="830">
      <c r="A830" s="54">
        <f>IFERROR(__xludf.DUMMYFUNCTION("""COMPUTED_VALUE"""),46195.0)</f>
        <v>46195</v>
      </c>
      <c r="B830" s="48"/>
      <c r="C830" s="48"/>
      <c r="D830" s="48"/>
      <c r="E830" s="53" t="str">
        <f>IFERROR(__xludf.DUMMYFUNCTION("""COMPUTED_VALUE"""),"Inserir consumo das CAGECEs na planilha")</f>
        <v>Inserir consumo das CAGECEs na planilha</v>
      </c>
    </row>
    <row r="831">
      <c r="A831" s="54">
        <f>IFERROR(__xludf.DUMMYFUNCTION("""COMPUTED_VALUE"""),46196.0)</f>
        <v>46196</v>
      </c>
      <c r="B831" s="48"/>
      <c r="C831" s="48"/>
      <c r="D831" s="48"/>
      <c r="E831" s="53" t="str">
        <f>IFERROR(__xludf.DUMMYFUNCTION("""COMPUTED_VALUE"""),"Produção de stories comemorativos para o mês de julho")</f>
        <v>Produção de stories comemorativos para o mês de julho</v>
      </c>
    </row>
    <row r="832">
      <c r="A832" s="54">
        <f>IFERROR(__xludf.DUMMYFUNCTION("""COMPUTED_VALUE"""),46196.0)</f>
        <v>46196</v>
      </c>
      <c r="B832" s="48"/>
      <c r="C832" s="48"/>
      <c r="D832" s="48"/>
      <c r="E832" s="53" t="str">
        <f>IFERROR(__xludf.DUMMYFUNCTION("""COMPUTED_VALUE"""),"Batimetria do açude Missi")</f>
        <v>Batimetria do açude Missi</v>
      </c>
    </row>
    <row r="833">
      <c r="A833" s="54">
        <f>IFERROR(__xludf.DUMMYFUNCTION("""COMPUTED_VALUE"""),46196.0)</f>
        <v>46196</v>
      </c>
      <c r="B833" s="48"/>
      <c r="C833" s="48"/>
      <c r="D833" s="48"/>
      <c r="E833" s="53" t="str">
        <f>IFERROR(__xludf.DUMMYFUNCTION("""COMPUTED_VALUE"""),"Verificação do trecho do rio Mundaú a ser perenizado pelo açude Gameleira")</f>
        <v>Verificação do trecho do rio Mundaú a ser perenizado pelo açude Gameleira</v>
      </c>
    </row>
    <row r="834">
      <c r="A834" s="54">
        <f>IFERROR(__xludf.DUMMYFUNCTION("""COMPUTED_VALUE"""),46197.0)</f>
        <v>46197</v>
      </c>
      <c r="B834" s="48"/>
      <c r="C834" s="48"/>
      <c r="D834" s="48"/>
      <c r="E834" s="53" t="str">
        <f>IFERROR(__xludf.DUMMYFUNCTION("""COMPUTED_VALUE"""),"Publicação de aniversário de Maria Otaviana do Nascimento ")</f>
        <v>Publicação de aniversário de Maria Otaviana do Nascimento </v>
      </c>
    </row>
    <row r="835">
      <c r="A835" s="54">
        <f>IFERROR(__xludf.DUMMYFUNCTION("""COMPUTED_VALUE"""),46197.0)</f>
        <v>46197</v>
      </c>
      <c r="B835" s="48"/>
      <c r="C835" s="48"/>
      <c r="D835" s="48"/>
      <c r="E835" s="53" t="str">
        <f>IFERROR(__xludf.DUMMYFUNCTION("""COMPUTED_VALUE"""),"FAG ")</f>
        <v>FAG </v>
      </c>
    </row>
    <row r="836">
      <c r="A836" s="54">
        <f>IFERROR(__xludf.DUMMYFUNCTION("""COMPUTED_VALUE"""),46197.0)</f>
        <v>46197</v>
      </c>
      <c r="B836" s="48"/>
      <c r="C836" s="48"/>
      <c r="D836" s="48"/>
      <c r="E836" s="53" t="str">
        <f>IFERROR(__xludf.DUMMYFUNCTION("""COMPUTED_VALUE"""),"Batimetria do açude Missi")</f>
        <v>Batimetria do açude Missi</v>
      </c>
    </row>
    <row r="837">
      <c r="A837" s="54">
        <f>IFERROR(__xludf.DUMMYFUNCTION("""COMPUTED_VALUE"""),46197.0)</f>
        <v>46197</v>
      </c>
      <c r="B837" s="48"/>
      <c r="C837" s="48"/>
      <c r="D837" s="48"/>
      <c r="E837" s="53" t="str">
        <f>IFERROR(__xludf.DUMMYFUNCTION("""COMPUTED_VALUE"""),"Medição de Vazão nas captações dos açudes Missi e São Pedro da Timbaúba e Verificação dos trechos dos rios Missi e Aracatiaçu a serem perenizados pelos açudes Missi e São Pedro da Timbaúba")</f>
        <v>Medição de Vazão nas captações dos açudes Missi e São Pedro da Timbaúba e Verificação dos trechos dos rios Missi e Aracatiaçu a serem perenizados pelos açudes Missi e São Pedro da Timbaúba</v>
      </c>
    </row>
    <row r="838">
      <c r="A838" s="54">
        <f>IFERROR(__xludf.DUMMYFUNCTION("""COMPUTED_VALUE"""),46198.0)</f>
        <v>46198</v>
      </c>
      <c r="B838" s="48"/>
      <c r="C838" s="48"/>
      <c r="D838" s="48"/>
      <c r="E838" s="53" t="str">
        <f>IFERROR(__xludf.DUMMYFUNCTION("""COMPUTED_VALUE"""),"75ª Reunião Ordinária do CBH Litoral")</f>
        <v>75ª Reunião Ordinária do CBH Litoral</v>
      </c>
    </row>
    <row r="839">
      <c r="A839" s="54">
        <f>IFERROR(__xludf.DUMMYFUNCTION("""COMPUTED_VALUE"""),46198.0)</f>
        <v>46198</v>
      </c>
      <c r="B839" s="48"/>
      <c r="C839" s="48"/>
      <c r="D839" s="48"/>
      <c r="E839" s="53" t="str">
        <f>IFERROR(__xludf.DUMMYFUNCTION("""COMPUTED_VALUE"""),"Publicação de matéria sobre a 75ª Reunião Ordinária do CBH Litoral")</f>
        <v>Publicação de matéria sobre a 75ª Reunião Ordinária do CBH Litoral</v>
      </c>
    </row>
    <row r="840">
      <c r="A840" s="55">
        <f>IFERROR(__xludf.DUMMYFUNCTION("""COMPUTED_VALUE"""),-620005.0)</f>
        <v>-620005</v>
      </c>
      <c r="B840" s="48"/>
      <c r="C840" s="48"/>
      <c r="D840" s="48"/>
      <c r="E840" s="53" t="str">
        <f>IFERROR(__xludf.DUMMYFUNCTION("""COMPUTED_VALUE"""),"Produção de ata sobre a 75ª Reunião Ordinária do CBH Litoral")</f>
        <v>Produção de ata sobre a 75ª Reunião Ordinária do CBH Litoral</v>
      </c>
    </row>
    <row r="841">
      <c r="A841" s="54">
        <f>IFERROR(__xludf.DUMMYFUNCTION("""COMPUTED_VALUE"""),46198.0)</f>
        <v>46198</v>
      </c>
      <c r="B841" s="48"/>
      <c r="C841" s="48"/>
      <c r="D841" s="48"/>
      <c r="E841" s="53" t="str">
        <f>IFERROR(__xludf.DUMMYFUNCTION("""COMPUTED_VALUE"""),"Produção de relatório de Parecer Técnico sobre a 75ª Reunião Ordinária do CBH Litoral")</f>
        <v>Produção de relatório de Parecer Técnico sobre a 75ª Reunião Ordinária do CBH Litoral</v>
      </c>
    </row>
    <row r="842">
      <c r="A842" s="55">
        <f>IFERROR(__xludf.DUMMYFUNCTION("""COMPUTED_VALUE"""),46198.0)</f>
        <v>46198</v>
      </c>
      <c r="B842" s="48"/>
      <c r="C842" s="48"/>
      <c r="D842" s="48"/>
      <c r="E842" s="53" t="str">
        <f>IFERROR(__xludf.DUMMYFUNCTION("""COMPUTED_VALUE"""),"Produção de declarações de participação da 75ª Reunião Ordinária do CBH Litoral ")</f>
        <v>Produção de declarações de participação da 75ª Reunião Ordinária do CBH Litoral </v>
      </c>
    </row>
    <row r="843">
      <c r="A843" s="54">
        <f>IFERROR(__xludf.DUMMYFUNCTION("""COMPUTED_VALUE"""),46199.0)</f>
        <v>46199</v>
      </c>
      <c r="B843" s="48"/>
      <c r="C843" s="48"/>
      <c r="D843" s="48"/>
      <c r="E843" s="53" t="str">
        <f>IFERROR(__xludf.DUMMYFUNCTION("""COMPUTED_VALUE"""),"CONFRATERNIZAÇÃO JUNINA")</f>
        <v>CONFRATERNIZAÇÃO JUNINA</v>
      </c>
    </row>
    <row r="844">
      <c r="A844" s="54">
        <f>IFERROR(__xludf.DUMMYFUNCTION("""COMPUTED_VALUE"""),46199.0)</f>
        <v>46199</v>
      </c>
      <c r="B844" s="48"/>
      <c r="C844" s="48"/>
      <c r="D844" s="48"/>
      <c r="E844" s="53" t="str">
        <f>IFERROR(__xludf.DUMMYFUNCTION("""COMPUTED_VALUE"""),"Produção de relatório sobre a 37ª Reunião Extraordinária do CBH Litoral")</f>
        <v>Produção de relatório sobre a 37ª Reunião Extraordinária do CBH Litoral</v>
      </c>
    </row>
    <row r="845">
      <c r="A845" s="54">
        <f>IFERROR(__xludf.DUMMYFUNCTION("""COMPUTED_VALUE"""),46199.0)</f>
        <v>46199</v>
      </c>
      <c r="B845" s="48"/>
      <c r="C845" s="48"/>
      <c r="D845" s="48"/>
      <c r="E845" s="53" t="str">
        <f>IFERROR(__xludf.DUMMYFUNCTION("""COMPUTED_VALUE"""),"Incluir programação de julho no drive da Gestão Participativa e Gerência Regional ")</f>
        <v>Incluir programação de julho no drive da Gestão Participativa e Gerência Regional </v>
      </c>
    </row>
    <row r="846">
      <c r="A846" s="54">
        <f>IFERROR(__xludf.DUMMYFUNCTION("""COMPUTED_VALUE"""),46199.0)</f>
        <v>46199</v>
      </c>
      <c r="B846" s="48"/>
      <c r="C846" s="48"/>
      <c r="D846" s="48"/>
      <c r="E846" s="53" t="str">
        <f>IFERROR(__xludf.DUMMYFUNCTION("""COMPUTED_VALUE"""),"Atualização das planilhas da Gestão Participativa e Gerência Regional com atividades programadas da semana")</f>
        <v>Atualização das planilhas da Gestão Participativa e Gerência Regional com atividades programadas da semana</v>
      </c>
    </row>
    <row r="847">
      <c r="A847" s="54">
        <f>IFERROR(__xludf.DUMMYFUNCTION("""COMPUTED_VALUE"""),46199.0)</f>
        <v>46199</v>
      </c>
      <c r="B847" s="48"/>
      <c r="C847" s="48"/>
      <c r="D847" s="48"/>
      <c r="E847" s="53" t="str">
        <f>IFERROR(__xludf.DUMMYFUNCTION("""COMPUTED_VALUE"""),"Batimetria do açude Missi")</f>
        <v>Batimetria do açude Missi</v>
      </c>
    </row>
    <row r="848">
      <c r="A848" s="54">
        <f>IFERROR(__xludf.DUMMYFUNCTION("""COMPUTED_VALUE"""),46199.0)</f>
        <v>46199</v>
      </c>
      <c r="B848" s="48"/>
      <c r="C848" s="48"/>
      <c r="D848" s="48"/>
      <c r="E848" s="53" t="str">
        <f>IFERROR(__xludf.DUMMYFUNCTION("""COMPUTED_VALUE"""),"Instrumentação dos açudes Missi e Poço Verde (Medidores de Vazão de Percolação)")</f>
        <v>Instrumentação dos açudes Missi e Poço Verde (Medidores de Vazão de Percolação)</v>
      </c>
    </row>
    <row r="849">
      <c r="A849" s="54">
        <f>IFERROR(__xludf.DUMMYFUNCTION("""COMPUTED_VALUE"""),46200.0)</f>
        <v>46200</v>
      </c>
      <c r="B849" s="48"/>
      <c r="C849" s="48"/>
      <c r="D849" s="48"/>
      <c r="E849" s="48"/>
    </row>
    <row r="850">
      <c r="A850" s="54">
        <f>IFERROR(__xludf.DUMMYFUNCTION("""COMPUTED_VALUE"""),46201.0)</f>
        <v>46201</v>
      </c>
      <c r="B850" s="48"/>
      <c r="C850" s="48"/>
      <c r="D850" s="48"/>
      <c r="E850" s="48"/>
    </row>
    <row r="851">
      <c r="A851" s="54">
        <f>IFERROR(__xludf.DUMMYFUNCTION("""COMPUTED_VALUE"""),46202.0)</f>
        <v>46202</v>
      </c>
      <c r="B851" s="48"/>
      <c r="C851" s="48"/>
      <c r="D851" s="48"/>
      <c r="E851" s="53" t="str">
        <f>IFERROR(__xludf.DUMMYFUNCTION("""COMPUTED_VALUE"""),"Reunião interna")</f>
        <v>Reunião interna</v>
      </c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54">
        <f>IFERROR(__xludf.DUMMYFUNCTION("""COMPUTED_VALUE"""),46202.0)</f>
        <v>46202</v>
      </c>
      <c r="B854" s="48"/>
      <c r="C854" s="48"/>
      <c r="D854" s="48"/>
      <c r="E854" s="53" t="str">
        <f>IFERROR(__xludf.DUMMYFUNCTION("""COMPUTED_VALUE"""),"Produção de ata da reunião de alocação negociada do açude Patos")</f>
        <v>Produção de ata da reunião de alocação negociada do açude Patos</v>
      </c>
    </row>
    <row r="855">
      <c r="A855" s="54">
        <f>IFERROR(__xludf.DUMMYFUNCTION("""COMPUTED_VALUE"""),46202.0)</f>
        <v>46202</v>
      </c>
      <c r="B855" s="48"/>
      <c r="C855" s="48"/>
      <c r="D855" s="48"/>
      <c r="E855" s="53" t="str">
        <f>IFERROR(__xludf.DUMMYFUNCTION("""COMPUTED_VALUE"""),"Produção de relatório de parecer técnico da reunião de alocação negociada do açude Patos")</f>
        <v>Produção de relatório de parecer técnico da reunião de alocação negociada do açude Patos</v>
      </c>
    </row>
    <row r="856">
      <c r="A856" s="54">
        <f>IFERROR(__xludf.DUMMYFUNCTION("""COMPUTED_VALUE"""),46202.0)</f>
        <v>46202</v>
      </c>
      <c r="B856" s="48"/>
      <c r="C856" s="48"/>
      <c r="D856" s="48"/>
      <c r="E856" s="53" t="str">
        <f>IFERROR(__xludf.DUMMYFUNCTION("""COMPUTED_VALUE"""),"Providenciar stories dos aniversariantes do mês de julho e confirmar aniversários")</f>
        <v>Providenciar stories dos aniversariantes do mês de julho e confirmar aniversários</v>
      </c>
    </row>
    <row r="857">
      <c r="A857" s="54">
        <f>IFERROR(__xludf.DUMMYFUNCTION("""COMPUTED_VALUE"""),46202.0)</f>
        <v>46202</v>
      </c>
      <c r="B857" s="48"/>
      <c r="C857" s="48"/>
      <c r="D857" s="48"/>
      <c r="E857" s="53" t="str">
        <f>IFERROR(__xludf.DUMMYFUNCTION("""COMPUTED_VALUE"""),"Publicar  story do Dia do Pescador")</f>
        <v>Publicar  story do Dia do Pescador</v>
      </c>
    </row>
    <row r="858">
      <c r="A858" s="54">
        <f>IFERROR(__xludf.DUMMYFUNCTION("""COMPUTED_VALUE"""),46202.0)</f>
        <v>46202</v>
      </c>
      <c r="B858" s="48"/>
      <c r="C858" s="48"/>
      <c r="D858" s="48"/>
      <c r="E858" s="53" t="str">
        <f>IFERROR(__xludf.DUMMYFUNCTION("""COMPUTED_VALUE"""),"Envio dos dados da batimetria do açude Missi à GEMON")</f>
        <v>Envio dos dados da batimetria do açude Missi à GEMON</v>
      </c>
    </row>
    <row r="859">
      <c r="A859" s="54">
        <f>IFERROR(__xludf.DUMMYFUNCTION("""COMPUTED_VALUE"""),46202.0)</f>
        <v>46202</v>
      </c>
      <c r="B859" s="48"/>
      <c r="C859" s="48"/>
      <c r="D859" s="48"/>
      <c r="E859" s="53" t="str">
        <f>IFERROR(__xludf.DUMMYFUNCTION("""COMPUTED_VALUE"""),"Monitoramento dos Poços e Medição de Vazão Comparativa em usuários de água medidos")</f>
        <v>Monitoramento dos Poços e Medição de Vazão Comparativa em usuários de água medidos</v>
      </c>
    </row>
    <row r="860">
      <c r="A860" s="54">
        <f>IFERROR(__xludf.DUMMYFUNCTION("""COMPUTED_VALUE"""),46203.0)</f>
        <v>46203</v>
      </c>
      <c r="B860" s="48"/>
      <c r="C860" s="48"/>
      <c r="D860" s="48"/>
      <c r="E860" s="53" t="str">
        <f>IFERROR(__xludf.DUMMYFUNCTION("""COMPUTED_VALUE"""),"Reunião de alocação negociada do açude Santo Antônio de Aracatiaçu e Patos")</f>
        <v>Reunião de alocação negociada do açude Santo Antônio de Aracatiaçu e Patos</v>
      </c>
    </row>
    <row r="861">
      <c r="A861" s="54">
        <f>IFERROR(__xludf.DUMMYFUNCTION("""COMPUTED_VALUE"""),46203.0)</f>
        <v>46203</v>
      </c>
      <c r="B861" s="48"/>
      <c r="C861" s="48"/>
      <c r="D861" s="48"/>
      <c r="E861" s="53" t="str">
        <f>IFERROR(__xludf.DUMMYFUNCTION("""COMPUTED_VALUE"""),"Publicação de matéria sobre a reunião de alocação negociada do açude Santo Antônio de Aracatiaçu")</f>
        <v>Publicação de matéria sobre a reunião de alocação negociada do açude Santo Antônio de Aracatiaçu</v>
      </c>
    </row>
    <row r="862">
      <c r="A862" s="54">
        <f>IFERROR(__xludf.DUMMYFUNCTION("""COMPUTED_VALUE"""),46203.0)</f>
        <v>46203</v>
      </c>
      <c r="B862" s="48"/>
      <c r="C862" s="48"/>
      <c r="D862" s="48"/>
      <c r="E862" s="53" t="str">
        <f>IFERROR(__xludf.DUMMYFUNCTION("""COMPUTED_VALUE"""),"Produção de ata da reunião de alocação negociada do açude Santo Antônio de Aracatiaçu ")</f>
        <v>Produção de ata da reunião de alocação negociada do açude Santo Antônio de Aracatiaçu </v>
      </c>
    </row>
    <row r="863">
      <c r="A863" s="54">
        <f>IFERROR(__xludf.DUMMYFUNCTION("""COMPUTED_VALUE"""),46203.0)</f>
        <v>46203</v>
      </c>
      <c r="B863" s="48"/>
      <c r="C863" s="48"/>
      <c r="D863" s="48"/>
      <c r="E863" s="53" t="str">
        <f>IFERROR(__xludf.DUMMYFUNCTION("""COMPUTED_VALUE"""),"Produção de ata da reunião de alocação negociada do açude Patos")</f>
        <v>Produção de ata da reunião de alocação negociada do açude Patos</v>
      </c>
    </row>
    <row r="864">
      <c r="A864" s="54">
        <f>IFERROR(__xludf.DUMMYFUNCTION("""COMPUTED_VALUE"""),46203.0)</f>
        <v>46203</v>
      </c>
      <c r="B864" s="48"/>
      <c r="C864" s="48"/>
      <c r="D864" s="48"/>
      <c r="E864" s="53" t="str">
        <f>IFERROR(__xludf.DUMMYFUNCTION("""COMPUTED_VALUE"""),"Produção de relatório de parecer técnico da reunião de alocação negociada do açude Santo Antônio de Aracatiaçu")</f>
        <v>Produção de relatório de parecer técnico da reunião de alocação negociada do açude Santo Antônio de Aracatiaçu</v>
      </c>
    </row>
    <row r="865">
      <c r="A865" s="54">
        <f>IFERROR(__xludf.DUMMYFUNCTION("""COMPUTED_VALUE"""),46203.0)</f>
        <v>46203</v>
      </c>
      <c r="B865" s="48"/>
      <c r="C865" s="48"/>
      <c r="D865" s="48"/>
      <c r="E865" s="53" t="str">
        <f>IFERROR(__xludf.DUMMYFUNCTION("""COMPUTED_VALUE"""),"Atualização das planilhas da Gestão Participativa e Gerência Regional com atividades programadas da semana")</f>
        <v>Atualização das planilhas da Gestão Participativa e Gerência Regional com atividades programadas da semana</v>
      </c>
    </row>
    <row r="866">
      <c r="A866" s="54">
        <f>IFERROR(__xludf.DUMMYFUNCTION("""COMPUTED_VALUE"""),46203.0)</f>
        <v>46203</v>
      </c>
      <c r="B866" s="48"/>
      <c r="C866" s="48"/>
      <c r="D866" s="48"/>
      <c r="E866" s="53" t="str">
        <f>IFERROR(__xludf.DUMMYFUNCTION("""COMPUTED_VALUE"""),"Produção do relatório do Indicador de Instalação e Manutenção de Medidores")</f>
        <v>Produção do relatório do Indicador de Instalação e Manutenção de Medidores</v>
      </c>
    </row>
    <row r="867">
      <c r="A867" s="54">
        <f>IFERROR(__xludf.DUMMYFUNCTION("""COMPUTED_VALUE"""),46203.0)</f>
        <v>46203</v>
      </c>
      <c r="B867" s="48"/>
      <c r="C867" s="48"/>
      <c r="D867" s="48"/>
      <c r="E867" s="53" t="str">
        <f>IFERROR(__xludf.DUMMYFUNCTION("""COMPUTED_VALUE"""),"Atualização da planilha do indicador de Fiscalizações e Produção de Relatórios Técnicos de Vistoria em Usuários")</f>
        <v>Atualização da planilha do indicador de Fiscalizações e Produção de Relatórios Técnicos de Vistoria em Usuários</v>
      </c>
    </row>
    <row r="868">
      <c r="A868" s="54">
        <f>IFERROR(__xludf.DUMMYFUNCTION("""COMPUTED_VALUE"""),46203.0)</f>
        <v>46203</v>
      </c>
      <c r="B868" s="48"/>
      <c r="C868" s="48"/>
      <c r="D868" s="48"/>
      <c r="E868" s="53" t="str">
        <f>IFERROR(__xludf.DUMMYFUNCTION("""COMPUTED_VALUE"""),"Instrumentação do açude Missi (Piezômetros)")</f>
        <v>Instrumentação do açude Missi (Piezômetros)</v>
      </c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8"/>
      <c r="B977" s="48"/>
      <c r="C977" s="48"/>
      <c r="D977" s="48"/>
      <c r="E977" s="48"/>
    </row>
    <row r="978">
      <c r="A978" s="48"/>
      <c r="B978" s="48"/>
      <c r="C978" s="48"/>
      <c r="D978" s="48"/>
      <c r="E978" s="48"/>
    </row>
    <row r="979">
      <c r="A979" s="48"/>
      <c r="B979" s="48"/>
      <c r="C979" s="48"/>
      <c r="D979" s="48"/>
      <c r="E979" s="48"/>
    </row>
    <row r="980">
      <c r="A980" s="48"/>
      <c r="B980" s="48"/>
      <c r="C980" s="48"/>
      <c r="D980" s="48"/>
      <c r="E980" s="48"/>
    </row>
    <row r="981">
      <c r="A981" s="48"/>
      <c r="B981" s="48"/>
      <c r="C981" s="48"/>
      <c r="D981" s="48"/>
      <c r="E981" s="48"/>
    </row>
    <row r="982">
      <c r="A982" s="48"/>
      <c r="B982" s="48"/>
      <c r="C982" s="48"/>
      <c r="D982" s="48"/>
      <c r="E982" s="48"/>
    </row>
    <row r="983">
      <c r="A983" s="48"/>
      <c r="B983" s="48"/>
      <c r="C983" s="48"/>
      <c r="D983" s="48"/>
      <c r="E983" s="48"/>
    </row>
    <row r="984">
      <c r="A984" s="48"/>
      <c r="B984" s="48"/>
      <c r="C984" s="48"/>
      <c r="D984" s="48"/>
      <c r="E984" s="48"/>
    </row>
    <row r="985">
      <c r="A985" s="48"/>
      <c r="B985" s="48"/>
      <c r="C985" s="48"/>
      <c r="D985" s="48"/>
      <c r="E985" s="48"/>
    </row>
    <row r="986">
      <c r="A986" s="48"/>
      <c r="B986" s="48"/>
      <c r="C986" s="48"/>
      <c r="D986" s="48"/>
      <c r="E986" s="48"/>
    </row>
    <row r="987">
      <c r="A987" s="48"/>
      <c r="B987" s="48"/>
      <c r="C987" s="48"/>
      <c r="D987" s="48"/>
      <c r="E987" s="48"/>
    </row>
    <row r="988">
      <c r="A988" s="48"/>
      <c r="B988" s="48"/>
      <c r="C988" s="48"/>
      <c r="D988" s="48"/>
      <c r="E988" s="48"/>
    </row>
    <row r="989">
      <c r="A989" s="48"/>
      <c r="B989" s="48"/>
      <c r="C989" s="48"/>
      <c r="D989" s="48"/>
      <c r="E989" s="48"/>
    </row>
    <row r="990">
      <c r="A990" s="48"/>
      <c r="B990" s="48"/>
      <c r="C990" s="48"/>
      <c r="D990" s="48"/>
      <c r="E990" s="48"/>
    </row>
    <row r="991">
      <c r="A991" s="48"/>
      <c r="B991" s="48"/>
      <c r="C991" s="48"/>
      <c r="D991" s="48"/>
      <c r="E991" s="48"/>
    </row>
    <row r="992">
      <c r="A992" s="48"/>
      <c r="B992" s="48"/>
      <c r="C992" s="48"/>
      <c r="D992" s="48"/>
      <c r="E992" s="48"/>
    </row>
    <row r="993">
      <c r="A993" s="48"/>
      <c r="B993" s="48"/>
      <c r="C993" s="48"/>
      <c r="D993" s="48"/>
      <c r="E993" s="48"/>
    </row>
    <row r="994">
      <c r="A994" s="48"/>
      <c r="B994" s="48"/>
      <c r="C994" s="48"/>
      <c r="D994" s="48"/>
      <c r="E994" s="48"/>
    </row>
    <row r="995">
      <c r="A995" s="48"/>
      <c r="B995" s="48"/>
      <c r="C995" s="48"/>
      <c r="D995" s="48"/>
      <c r="E995" s="48"/>
    </row>
    <row r="996">
      <c r="A996" s="48"/>
      <c r="B996" s="48"/>
      <c r="C996" s="48"/>
      <c r="D996" s="48"/>
      <c r="E996" s="48"/>
    </row>
    <row r="997">
      <c r="A997" s="48"/>
      <c r="B997" s="48"/>
      <c r="C997" s="48"/>
      <c r="D997" s="48"/>
      <c r="E997" s="48"/>
    </row>
    <row r="998">
      <c r="A998" s="48"/>
      <c r="B998" s="48"/>
      <c r="C998" s="48"/>
      <c r="D998" s="48"/>
      <c r="E998" s="48"/>
    </row>
    <row r="999">
      <c r="A999" s="48"/>
      <c r="B999" s="48"/>
      <c r="C999" s="48"/>
      <c r="D999" s="48"/>
      <c r="E999" s="48"/>
    </row>
    <row r="1000">
      <c r="A1000" s="48"/>
      <c r="B1000" s="48"/>
      <c r="C1000" s="48"/>
      <c r="D1000" s="48"/>
      <c r="E1000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60</v>
      </c>
    </row>
    <row r="2">
      <c r="A2" s="48">
        <f>IFERROR(__xludf.DUMMYFUNCTION("IMPORTRANGE(""https://docs.google.com/spreadsheets/d/1iBrpLlm14k9_yhp3qCf1sI5I4CW0_hVvSluhMLtsnf0/edit?gid=874251860#gid=874251860"",""Indicador Setorial!b4:O4"")"),105.0)</f>
        <v>105</v>
      </c>
      <c r="B2" s="57">
        <f>IFERROR(__xludf.DUMMYFUNCTION("""COMPUTED_VALUE"""),38.0)</f>
        <v>38</v>
      </c>
      <c r="C2" s="58">
        <f>IFERROR(__xludf.DUMMYFUNCTION("""COMPUTED_VALUE"""),7.0)</f>
        <v>7</v>
      </c>
      <c r="D2" s="58">
        <f>IFERROR(__xludf.DUMMYFUNCTION("""COMPUTED_VALUE"""),4.0)</f>
        <v>4</v>
      </c>
      <c r="E2" s="58">
        <f>IFERROR(__xludf.DUMMYFUNCTION("""COMPUTED_VALUE"""),8.0)</f>
        <v>8</v>
      </c>
      <c r="F2" s="58">
        <f>IFERROR(__xludf.DUMMYFUNCTION("""COMPUTED_VALUE"""),9.0)</f>
        <v>9</v>
      </c>
      <c r="G2" s="58">
        <f>IFERROR(__xludf.DUMMYFUNCTION("""COMPUTED_VALUE"""),10.0)</f>
        <v>10</v>
      </c>
      <c r="H2" s="58">
        <f>IFERROR(__xludf.DUMMYFUNCTION("""COMPUTED_VALUE"""),0.0)</f>
        <v>0</v>
      </c>
      <c r="I2" s="58">
        <f>IFERROR(__xludf.DUMMYFUNCTION("""COMPUTED_VALUE"""),0.0)</f>
        <v>0</v>
      </c>
      <c r="J2" s="58">
        <f>IFERROR(__xludf.DUMMYFUNCTION("""COMPUTED_VALUE"""),0.0)</f>
        <v>0</v>
      </c>
      <c r="K2" s="58">
        <f>IFERROR(__xludf.DUMMYFUNCTION("""COMPUTED_VALUE"""),0.0)</f>
        <v>0</v>
      </c>
      <c r="L2" s="58">
        <f>IFERROR(__xludf.DUMMYFUNCTION("""COMPUTED_VALUE"""),0.0)</f>
        <v>0</v>
      </c>
      <c r="M2" s="58">
        <f>IFERROR(__xludf.DUMMYFUNCTION("""COMPUTED_VALUE"""),0.0)</f>
        <v>0</v>
      </c>
      <c r="N2" s="58">
        <f>IFERROR(__xludf.DUMMYFUNCTION("""COMPUTED_VALUE"""),0.0)</f>
        <v>0</v>
      </c>
      <c r="O2" s="56" t="s">
        <v>61</v>
      </c>
    </row>
    <row r="3">
      <c r="C3" s="58">
        <f>IFERROR(__xludf.DUMMYFUNCTION("IMPORTRANGE(""https://docs.google.com/spreadsheets/d/1iBrpLlm14k9_yhp3qCf1sI5I4CW0_hVvSluhMLtsnf0/edit?gid=874251860#gid=874251860"",""Indicador Setorial!d31:31"")"),5.0)</f>
        <v>5</v>
      </c>
      <c r="D3" s="58">
        <f>IFERROR(__xludf.DUMMYFUNCTION("""COMPUTED_VALUE"""),3.0)</f>
        <v>3</v>
      </c>
      <c r="E3" s="58">
        <f>IFERROR(__xludf.DUMMYFUNCTION("""COMPUTED_VALUE"""),5.0)</f>
        <v>5</v>
      </c>
      <c r="F3" s="58">
        <f>IFERROR(__xludf.DUMMYFUNCTION("""COMPUTED_VALUE"""),0.0)</f>
        <v>0</v>
      </c>
      <c r="G3" s="58">
        <f>IFERROR(__xludf.DUMMYFUNCTION("""COMPUTED_VALUE"""),0.0)</f>
        <v>0</v>
      </c>
      <c r="H3" s="58">
        <f>IFERROR(__xludf.DUMMYFUNCTION("""COMPUTED_VALUE"""),0.0)</f>
        <v>0</v>
      </c>
      <c r="I3" s="58">
        <f>IFERROR(__xludf.DUMMYFUNCTION("""COMPUTED_VALUE"""),0.0)</f>
        <v>0</v>
      </c>
      <c r="J3" s="58">
        <f>IFERROR(__xludf.DUMMYFUNCTION("""COMPUTED_VALUE"""),0.0)</f>
        <v>0</v>
      </c>
      <c r="K3" s="58">
        <f>IFERROR(__xludf.DUMMYFUNCTION("""COMPUTED_VALUE"""),0.0)</f>
        <v>0</v>
      </c>
      <c r="L3" s="58">
        <f>IFERROR(__xludf.DUMMYFUNCTION("""COMPUTED_VALUE"""),0.0)</f>
        <v>0</v>
      </c>
      <c r="M3" s="58">
        <f>IFERROR(__xludf.DUMMYFUNCTION("""COMPUTED_VALUE"""),0.0)</f>
        <v>0</v>
      </c>
      <c r="N3" s="58">
        <f>IFERROR(__xludf.DUMMYFUNCTION("""COMPUTED_VALUE"""),0.0)</f>
        <v>0</v>
      </c>
      <c r="O3" s="57">
        <f>IFERROR(__xludf.DUMMYFUNCTION("""COMPUTED_VALUE"""),13.0)</f>
        <v>13</v>
      </c>
      <c r="P3" s="48"/>
      <c r="Q3" s="48"/>
      <c r="R3" s="48"/>
      <c r="S3" s="48"/>
      <c r="T3" s="48"/>
      <c r="U3" s="48"/>
      <c r="V3" s="48"/>
      <c r="W3" s="48"/>
      <c r="X3" s="48"/>
      <c r="Y3" s="48"/>
    </row>
    <row r="5">
      <c r="A5" s="56" t="s">
        <v>62</v>
      </c>
    </row>
    <row r="6">
      <c r="C6" s="59" t="str">
        <f>IFERROR(__xludf.DUMMYFUNCTION("IMPORTRANGE(""https://docs.google.com/spreadsheets/d/1ZMQ1ZJd0nWMp1bKte4MwmpuiYfPuptkAdyS2OLhz2tY/edit?gid=867584558#gid=867584558"",""Itapipoca!B1:G1"")"),"MEDIÇÕES DE VAZÃO (MEDV)")</f>
        <v>MEDIÇÕES DE VAZÃO (MEDV)</v>
      </c>
      <c r="D6" s="59" t="str">
        <f>IFERROR(__xludf.DUMMYFUNCTION("""COMPUTED_VALUE"""),"MEDIÇÕES COMPARATIVAS (MEDC)")</f>
        <v>MEDIÇÕES COMPARATIVAS (MEDC)</v>
      </c>
      <c r="E6" s="59" t="str">
        <f>IFERROR(__xludf.DUMMYFUNCTION("""COMPUTED_VALUE"""),"MANUTENÇÕES DE HORIMETROS (MANH)")</f>
        <v>MANUTENÇÕES DE HORIMETROS (MANH)</v>
      </c>
      <c r="F6" s="59" t="str">
        <f>IFERROR(__xludf.DUMMYFUNCTION("""COMPUTED_VALUE"""),"MANUTENÇÕES DE MEDIDORES (MANM)")</f>
        <v>MANUTENÇÕES DE MEDIDORES (MANM)</v>
      </c>
      <c r="G6" s="59" t="str">
        <f>IFERROR(__xludf.DUMMYFUNCTION("""COMPUTED_VALUE"""),"INSTALAÇÕES DE HORIMETROS (INSH)")</f>
        <v>INSTALAÇÕES DE HORIMETROS (INSH)</v>
      </c>
      <c r="H6" s="59" t="str">
        <f>IFERROR(__xludf.DUMMYFUNCTION("""COMPUTED_VALUE"""),"INSTALAÇÕES DE MEDIDORES (INSM)")</f>
        <v>INSTALAÇÕES DE MEDIDORES (INSM)</v>
      </c>
      <c r="I6" s="60"/>
    </row>
    <row r="7">
      <c r="C7" s="7">
        <f>IFERROR(__xludf.DUMMYFUNCTION("IMPORTRANGE(""https://docs.google.com/spreadsheets/d/1ZMQ1ZJd0nWMp1bKte4MwmpuiYfPuptkAdyS2OLhz2tY/edit?gid=867584558#gid=867584558"",""Itapipoca!B14:G14"")"),6.0)</f>
        <v>6</v>
      </c>
      <c r="D7" s="7">
        <f>IFERROR(__xludf.DUMMYFUNCTION("""COMPUTED_VALUE"""),5.0)</f>
        <v>5</v>
      </c>
      <c r="E7" s="7">
        <f>IFERROR(__xludf.DUMMYFUNCTION("""COMPUTED_VALUE"""),1.0)</f>
        <v>1</v>
      </c>
      <c r="F7" s="7">
        <f>IFERROR(__xludf.DUMMYFUNCTION("""COMPUTED_VALUE"""),3.0)</f>
        <v>3</v>
      </c>
      <c r="G7" s="7">
        <f>IFERROR(__xludf.DUMMYFUNCTION("""COMPUTED_VALUE"""),1.0)</f>
        <v>1</v>
      </c>
      <c r="H7" s="7">
        <f>IFERROR(__xludf.DUMMYFUNCTION("""COMPUTED_VALUE"""),2.0)</f>
        <v>2</v>
      </c>
    </row>
    <row r="8">
      <c r="C8" s="61">
        <f>SUM(C7:D7)</f>
        <v>11</v>
      </c>
      <c r="D8" s="61">
        <f>SUM(E7:F7)</f>
        <v>4</v>
      </c>
      <c r="E8" s="61">
        <f>SUM(G7:H7)</f>
        <v>3</v>
      </c>
      <c r="F8" s="51">
        <f>IFERROR(__xludf.DUMMYFUNCTION("IMPORTRANGE(""https://docs.google.com/spreadsheets/d/1ZMQ1ZJd0nWMp1bKte4MwmpuiYfPuptkAdyS2OLhz2tY/edit?gid=867584558#gid=867584558"",""Itapipoca!I14"")"),0.11)</f>
        <v>0.11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17.13"/>
    <col customWidth="1" min="3" max="3" width="23.0"/>
  </cols>
  <sheetData>
    <row r="1">
      <c r="A1" s="48" t="str">
        <f>IFERROR(__xludf.DUMMYFUNCTION("QUERY(IMPORTRANGE(""https://docs.google.com/spreadsheets/d/1sXeXTD5YjBI3DqtVddm1VCMTInMYB4QnHol-BTa5xeo/edit"", ""Programação_Litoral!A:O""), ""SELECT Col4, Col2,  Col13"", 1)"),"")</f>
        <v/>
      </c>
      <c r="B1" s="54"/>
      <c r="C1" s="48"/>
    </row>
    <row r="2">
      <c r="A2" s="48"/>
      <c r="B2" s="54"/>
      <c r="C2" s="48"/>
    </row>
    <row r="3">
      <c r="A3" s="48"/>
      <c r="B3" s="54"/>
      <c r="C3" s="48"/>
    </row>
    <row r="4">
      <c r="A4" s="48"/>
      <c r="B4" s="54"/>
      <c r="C4" s="48"/>
    </row>
    <row r="5">
      <c r="A5" s="48"/>
      <c r="B5" s="54"/>
      <c r="C5" s="48"/>
    </row>
    <row r="6">
      <c r="A6" s="48" t="str">
        <f>IFERROR(__xludf.DUMMYFUNCTION("""COMPUTED_VALUE"""),"Atividade")</f>
        <v>Atividade</v>
      </c>
      <c r="B6" s="54"/>
      <c r="C6" s="48" t="str">
        <f>IFERROR(__xludf.DUMMYFUNCTION("""COMPUTED_VALUE"""),"Nº de instituições Membros")</f>
        <v>Nº de instituições Membros</v>
      </c>
    </row>
    <row r="7">
      <c r="A7" s="48" t="str">
        <f>IFERROR(__xludf.DUMMYFUNCTION("""COMPUTED_VALUE"""),"20. Ação de Comunicação / Informação / Capacitação Externa")</f>
        <v>20. Ação de Comunicação / Informação / Capacitação Externa</v>
      </c>
      <c r="B7" s="54">
        <f>IFERROR(__xludf.DUMMYFUNCTION("""COMPUTED_VALUE"""),44928.0)</f>
        <v>44928</v>
      </c>
      <c r="C7" s="48" t="str">
        <f>IFERROR(__xludf.DUMMYFUNCTION("""COMPUTED_VALUE"""),"40")</f>
        <v>40</v>
      </c>
    </row>
    <row r="8">
      <c r="A8" s="48" t="str">
        <f>IFERROR(__xludf.DUMMYFUNCTION("""COMPUTED_VALUE"""),"20. Ação de Comunicação / Informação / Capacitação Externa")</f>
        <v>20. Ação de Comunicação / Informação / Capacitação Externa</v>
      </c>
      <c r="B8" s="54">
        <f>IFERROR(__xludf.DUMMYFUNCTION("""COMPUTED_VALUE"""),44928.0)</f>
        <v>44928</v>
      </c>
      <c r="C8" s="48"/>
    </row>
    <row r="9">
      <c r="A9" s="48" t="str">
        <f>IFERROR(__xludf.DUMMYFUNCTION("""COMPUTED_VALUE"""),"20. Ação de Comunicação / Informação / Capacitação Externa")</f>
        <v>20. Ação de Comunicação / Informação / Capacitação Externa</v>
      </c>
      <c r="B9" s="54"/>
      <c r="C9" s="48"/>
    </row>
    <row r="10">
      <c r="A10" s="48" t="str">
        <f>IFERROR(__xludf.DUMMYFUNCTION("""COMPUTED_VALUE"""),"24. Projetos ou atividades Específicos")</f>
        <v>24. Projetos ou atividades Específicos</v>
      </c>
      <c r="B10" s="54">
        <f>IFERROR(__xludf.DUMMYFUNCTION("""COMPUTED_VALUE"""),44930.0)</f>
        <v>44930</v>
      </c>
      <c r="C10" s="48" t="str">
        <f>IFERROR(__xludf.DUMMYFUNCTION("""COMPUTED_VALUE"""),"2")</f>
        <v>2</v>
      </c>
    </row>
    <row r="11">
      <c r="A11" s="48" t="str">
        <f>IFERROR(__xludf.DUMMYFUNCTION("""COMPUTED_VALUE"""),"8. CBH – Reunião de Diretoria do CBH")</f>
        <v>8. CBH – Reunião de Diretoria do CBH</v>
      </c>
      <c r="B11" s="54">
        <f>IFERROR(__xludf.DUMMYFUNCTION("""COMPUTED_VALUE"""),44931.0)</f>
        <v>44931</v>
      </c>
      <c r="C11" s="48" t="str">
        <f>IFERROR(__xludf.DUMMYFUNCTION("""COMPUTED_VALUE"""),"4")</f>
        <v>4</v>
      </c>
    </row>
    <row r="12">
      <c r="A12" s="48" t="str">
        <f>IFERROR(__xludf.DUMMYFUNCTION("""COMPUTED_VALUE"""),"24. Projetos ou atividades Específicos")</f>
        <v>24. Projetos ou atividades Específicos</v>
      </c>
      <c r="B12" s="54">
        <f>IFERROR(__xludf.DUMMYFUNCTION("""COMPUTED_VALUE"""),44931.0)</f>
        <v>44931</v>
      </c>
      <c r="C12" s="48"/>
    </row>
    <row r="13">
      <c r="A13" s="48" t="str">
        <f>IFERROR(__xludf.DUMMYFUNCTION("""COMPUTED_VALUE"""),"24. Projetos ou atividades Específicos")</f>
        <v>24. Projetos ou atividades Específicos</v>
      </c>
      <c r="B13" s="54">
        <f>IFERROR(__xludf.DUMMYFUNCTION("""COMPUTED_VALUE"""),44934.0)</f>
        <v>44934</v>
      </c>
      <c r="C13" s="48"/>
    </row>
    <row r="14">
      <c r="A14" s="48" t="str">
        <f>IFERROR(__xludf.DUMMYFUNCTION("""COMPUTED_VALUE"""),"24. Projetos ou atividades Específicos")</f>
        <v>24. Projetos ou atividades Específicos</v>
      </c>
      <c r="B14" s="54">
        <f>IFERROR(__xludf.DUMMYFUNCTION("""COMPUTED_VALUE"""),44935.0)</f>
        <v>44935</v>
      </c>
      <c r="C14" s="48" t="str">
        <f>IFERROR(__xludf.DUMMYFUNCTION("""COMPUTED_VALUE"""),"1")</f>
        <v>1</v>
      </c>
    </row>
    <row r="15">
      <c r="A15" s="48" t="str">
        <f>IFERROR(__xludf.DUMMYFUNCTION("""COMPUTED_VALUE"""),"24. Projetos ou atividades Específicos")</f>
        <v>24. Projetos ou atividades Específicos</v>
      </c>
      <c r="B15" s="54">
        <f>IFERROR(__xludf.DUMMYFUNCTION("""COMPUTED_VALUE"""),44935.0)</f>
        <v>44935</v>
      </c>
      <c r="C15" s="48" t="str">
        <f>IFERROR(__xludf.DUMMYFUNCTION("""COMPUTED_VALUE"""),"1")</f>
        <v>1</v>
      </c>
    </row>
    <row r="16">
      <c r="A16" s="48" t="str">
        <f>IFERROR(__xludf.DUMMYFUNCTION("""COMPUTED_VALUE"""),"9. CBH – Reunião de Câmara Técnica, Câmara específica ou GT")</f>
        <v>9. CBH – Reunião de Câmara Técnica, Câmara específica ou GT</v>
      </c>
      <c r="B16" s="54">
        <f>IFERROR(__xludf.DUMMYFUNCTION("""COMPUTED_VALUE"""),44936.0)</f>
        <v>44936</v>
      </c>
      <c r="C16" s="48" t="str">
        <f>IFERROR(__xludf.DUMMYFUNCTION("""COMPUTED_VALUE"""),"4")</f>
        <v>4</v>
      </c>
    </row>
    <row r="17">
      <c r="A17" s="48" t="str">
        <f>IFERROR(__xludf.DUMMYFUNCTION("""COMPUTED_VALUE"""),"24. Projetos ou atividades Específicos")</f>
        <v>24. Projetos ou atividades Específicos</v>
      </c>
      <c r="B17" s="54">
        <f>IFERROR(__xludf.DUMMYFUNCTION("""COMPUTED_VALUE"""),44936.0)</f>
        <v>44936</v>
      </c>
      <c r="C17" s="48" t="str">
        <f>IFERROR(__xludf.DUMMYFUNCTION("""COMPUTED_VALUE"""),"2")</f>
        <v>2</v>
      </c>
    </row>
    <row r="18">
      <c r="A18" s="48" t="str">
        <f>IFERROR(__xludf.DUMMYFUNCTION("""COMPUTED_VALUE"""),"26. Outro")</f>
        <v>26. Outro</v>
      </c>
      <c r="B18" s="54">
        <f>IFERROR(__xludf.DUMMYFUNCTION("""COMPUTED_VALUE"""),44937.0)</f>
        <v>44937</v>
      </c>
      <c r="C18" s="48"/>
    </row>
    <row r="19">
      <c r="A19" s="48" t="str">
        <f>IFERROR(__xludf.DUMMYFUNCTION("""COMPUTED_VALUE"""),"25. Atividade Relacinada a Cobrança/Faturamento")</f>
        <v>25. Atividade Relacinada a Cobrança/Faturamento</v>
      </c>
      <c r="B19" s="54">
        <f>IFERROR(__xludf.DUMMYFUNCTION("""COMPUTED_VALUE"""),44937.0)</f>
        <v>44937</v>
      </c>
      <c r="C19" s="48"/>
    </row>
    <row r="20">
      <c r="A20" s="48" t="str">
        <f>IFERROR(__xludf.DUMMYFUNCTION("""COMPUTED_VALUE"""),"24. Projetos ou atividades Específicos")</f>
        <v>24. Projetos ou atividades Específicos</v>
      </c>
      <c r="B20" s="54">
        <f>IFERROR(__xludf.DUMMYFUNCTION("""COMPUTED_VALUE"""),44938.0)</f>
        <v>44938</v>
      </c>
      <c r="C20" s="48"/>
    </row>
    <row r="21">
      <c r="A21" s="48" t="str">
        <f>IFERROR(__xludf.DUMMYFUNCTION("""COMPUTED_VALUE"""),"24. Projetos ou atividades Específicos")</f>
        <v>24. Projetos ou atividades Específicos</v>
      </c>
      <c r="B21" s="54">
        <f>IFERROR(__xludf.DUMMYFUNCTION("""COMPUTED_VALUE"""),44942.0)</f>
        <v>44942</v>
      </c>
      <c r="C21" s="48"/>
    </row>
    <row r="22">
      <c r="A22" s="48" t="str">
        <f>IFERROR(__xludf.DUMMYFUNCTION("""COMPUTED_VALUE"""),"6. CBH – Reunião Ordinária do Comitê")</f>
        <v>6. CBH – Reunião Ordinária do Comitê</v>
      </c>
      <c r="B22" s="54">
        <f>IFERROR(__xludf.DUMMYFUNCTION("""COMPUTED_VALUE"""),44942.0)</f>
        <v>44942</v>
      </c>
      <c r="C22" s="48"/>
    </row>
    <row r="23">
      <c r="A23" s="48" t="str">
        <f>IFERROR(__xludf.DUMMYFUNCTION("""COMPUTED_VALUE"""),"20. Ação de Comunicação / Informação / Capacitação Externa")</f>
        <v>20. Ação de Comunicação / Informação / Capacitação Externa</v>
      </c>
      <c r="B23" s="54">
        <f>IFERROR(__xludf.DUMMYFUNCTION("""COMPUTED_VALUE"""),44943.0)</f>
        <v>44943</v>
      </c>
      <c r="C23" s="48"/>
    </row>
    <row r="24">
      <c r="A24" s="48" t="str">
        <f>IFERROR(__xludf.DUMMYFUNCTION("""COMPUTED_VALUE"""),"24. Projetos ou atividades Específicos")</f>
        <v>24. Projetos ou atividades Específicos</v>
      </c>
      <c r="B24" s="54">
        <f>IFERROR(__xludf.DUMMYFUNCTION("""COMPUTED_VALUE"""),44943.0)</f>
        <v>44943</v>
      </c>
      <c r="C24" s="48" t="str">
        <f>IFERROR(__xludf.DUMMYFUNCTION("""COMPUTED_VALUE"""),"1")</f>
        <v>1</v>
      </c>
    </row>
    <row r="25">
      <c r="A25" s="48" t="str">
        <f>IFERROR(__xludf.DUMMYFUNCTION("""COMPUTED_VALUE"""),"24. Projetos ou atividades Específicos")</f>
        <v>24. Projetos ou atividades Específicos</v>
      </c>
      <c r="B25" s="54">
        <f>IFERROR(__xludf.DUMMYFUNCTION("""COMPUTED_VALUE"""),44944.0)</f>
        <v>44944</v>
      </c>
      <c r="C25" s="48"/>
    </row>
    <row r="26">
      <c r="A26" s="48" t="str">
        <f>IFERROR(__xludf.DUMMYFUNCTION("""COMPUTED_VALUE"""),"12. CBH – Reunião do Fórum Cearense de Comitê")</f>
        <v>12. CBH – Reunião do Fórum Cearense de Comitê</v>
      </c>
      <c r="B26" s="54">
        <f>IFERROR(__xludf.DUMMYFUNCTION("""COMPUTED_VALUE"""),44949.0)</f>
        <v>44949</v>
      </c>
      <c r="C26" s="48" t="str">
        <f>IFERROR(__xludf.DUMMYFUNCTION("""COMPUTED_VALUE"""),"3")</f>
        <v>3</v>
      </c>
    </row>
    <row r="27">
      <c r="A27" s="48" t="str">
        <f>IFERROR(__xludf.DUMMYFUNCTION("""COMPUTED_VALUE"""),"18. Mobilização Social")</f>
        <v>18. Mobilização Social</v>
      </c>
      <c r="B27" s="54">
        <f>IFERROR(__xludf.DUMMYFUNCTION("""COMPUTED_VALUE"""),44951.0)</f>
        <v>44951</v>
      </c>
      <c r="C27" s="48" t="str">
        <f>IFERROR(__xludf.DUMMYFUNCTION("""COMPUTED_VALUE"""),"29")</f>
        <v>29</v>
      </c>
    </row>
    <row r="28">
      <c r="A28" s="48" t="str">
        <f>IFERROR(__xludf.DUMMYFUNCTION("""COMPUTED_VALUE"""),"Apoio ao Comitê de Bacias")</f>
        <v>Apoio ao Comitê de Bacias</v>
      </c>
      <c r="B28" s="54">
        <f>IFERROR(__xludf.DUMMYFUNCTION("""COMPUTED_VALUE"""),44958.0)</f>
        <v>44958</v>
      </c>
      <c r="C28" s="48" t="str">
        <f>IFERROR(__xludf.DUMMYFUNCTION("""COMPUTED_VALUE"""),"40")</f>
        <v>40</v>
      </c>
    </row>
    <row r="29">
      <c r="A29" s="48" t="str">
        <f>IFERROR(__xludf.DUMMYFUNCTION("""COMPUTED_VALUE"""),"17. CG – Apoio à Formação de CG nos reservatórios (e renovação)")</f>
        <v>17. CG – Apoio à Formação de CG nos reservatórios (e renovação)</v>
      </c>
      <c r="B29" s="54">
        <f>IFERROR(__xludf.DUMMYFUNCTION("""COMPUTED_VALUE"""),44960.0)</f>
        <v>44960</v>
      </c>
      <c r="C29" s="48" t="str">
        <f>IFERROR(__xludf.DUMMYFUNCTION("""COMPUTED_VALUE"""),"3")</f>
        <v>3</v>
      </c>
    </row>
    <row r="30">
      <c r="A30" s="48" t="str">
        <f>IFERROR(__xludf.DUMMYFUNCTION("""COMPUTED_VALUE"""),"62ª Reunião Ordinária do CBH Litoral")</f>
        <v>62ª Reunião Ordinária do CBH Litoral</v>
      </c>
      <c r="B30" s="54">
        <f>IFERROR(__xludf.DUMMYFUNCTION("""COMPUTED_VALUE"""),44965.0)</f>
        <v>44965</v>
      </c>
      <c r="C30" s="48" t="str">
        <f>IFERROR(__xludf.DUMMYFUNCTION("""COMPUTED_VALUE"""),"37")</f>
        <v>37</v>
      </c>
    </row>
    <row r="31">
      <c r="A31" s="48" t="str">
        <f>IFERROR(__xludf.DUMMYFUNCTION("""COMPUTED_VALUE"""),"10. CBH – Capacitação do Comitê")</f>
        <v>10. CBH – Capacitação do Comitê</v>
      </c>
      <c r="B31" s="54">
        <f>IFERROR(__xludf.DUMMYFUNCTION("""COMPUTED_VALUE"""),44965.0)</f>
        <v>44965</v>
      </c>
      <c r="C31" s="48" t="str">
        <f>IFERROR(__xludf.DUMMYFUNCTION("""COMPUTED_VALUE"""),"37")</f>
        <v>37</v>
      </c>
    </row>
    <row r="32">
      <c r="A32" s="48" t="str">
        <f>IFERROR(__xludf.DUMMYFUNCTION("""COMPUTED_VALUE"""),"Apoio ao Comitê")</f>
        <v>Apoio ao Comitê</v>
      </c>
      <c r="B32" s="54">
        <f>IFERROR(__xludf.DUMMYFUNCTION("""COMPUTED_VALUE"""),44966.0)</f>
        <v>44966</v>
      </c>
      <c r="C32" s="48"/>
    </row>
    <row r="33">
      <c r="A33" s="48" t="str">
        <f>IFERROR(__xludf.DUMMYFUNCTION("""COMPUTED_VALUE"""),"Apoio ao Comitê")</f>
        <v>Apoio ao Comitê</v>
      </c>
      <c r="B33" s="54">
        <f>IFERROR(__xludf.DUMMYFUNCTION("""COMPUTED_VALUE"""),44966.0)</f>
        <v>44966</v>
      </c>
      <c r="C33" s="48"/>
    </row>
    <row r="34">
      <c r="A34" s="48" t="str">
        <f>IFERROR(__xludf.DUMMYFUNCTION("""COMPUTED_VALUE"""),"17. CG – Apoio à Formação de CG nos reservatórios (e renovação)")</f>
        <v>17. CG – Apoio à Formação de CG nos reservatórios (e renovação)</v>
      </c>
      <c r="B34" s="54">
        <f>IFERROR(__xludf.DUMMYFUNCTION("""COMPUTED_VALUE"""),44971.0)</f>
        <v>44971</v>
      </c>
      <c r="C34" s="48" t="str">
        <f>IFERROR(__xludf.DUMMYFUNCTION("""COMPUTED_VALUE"""),"2")</f>
        <v>2</v>
      </c>
    </row>
    <row r="35">
      <c r="A35" s="48" t="str">
        <f>IFERROR(__xludf.DUMMYFUNCTION("""COMPUTED_VALUE"""),"17. CG – Apoio à Formação de CG nos reservatórios (e renovação)")</f>
        <v>17. CG – Apoio à Formação de CG nos reservatórios (e renovação)</v>
      </c>
      <c r="B35" s="54">
        <f>IFERROR(__xludf.DUMMYFUNCTION("""COMPUTED_VALUE"""),44972.0)</f>
        <v>44972</v>
      </c>
      <c r="C35" s="48"/>
    </row>
    <row r="36">
      <c r="A36" s="48" t="str">
        <f>IFERROR(__xludf.DUMMYFUNCTION("""COMPUTED_VALUE"""),"18. Mobilização Social")</f>
        <v>18. Mobilização Social</v>
      </c>
      <c r="B36" s="54">
        <f>IFERROR(__xludf.DUMMYFUNCTION("""COMPUTED_VALUE"""),44980.0)</f>
        <v>44980</v>
      </c>
      <c r="C36" s="48"/>
    </row>
    <row r="37">
      <c r="A37" s="48" t="str">
        <f>IFERROR(__xludf.DUMMYFUNCTION("""COMPUTED_VALUE"""),"18. Mobilização Social")</f>
        <v>18. Mobilização Social</v>
      </c>
      <c r="B37" s="54">
        <f>IFERROR(__xludf.DUMMYFUNCTION("""COMPUTED_VALUE"""),44984.0)</f>
        <v>44984</v>
      </c>
      <c r="C37" s="48"/>
    </row>
    <row r="38">
      <c r="A38" s="48" t="str">
        <f>IFERROR(__xludf.DUMMYFUNCTION("""COMPUTED_VALUE"""),"17. CG – Apoio à Formação de CG nos reservatórios (e renovação)")</f>
        <v>17. CG – Apoio à Formação de CG nos reservatórios (e renovação)</v>
      </c>
      <c r="B38" s="54">
        <f>IFERROR(__xludf.DUMMYFUNCTION("""COMPUTED_VALUE"""),44985.0)</f>
        <v>44985</v>
      </c>
      <c r="C38" s="48"/>
    </row>
    <row r="39">
      <c r="A39" s="48" t="str">
        <f>IFERROR(__xludf.DUMMYFUNCTION("""COMPUTED_VALUE"""),"20. Ação de Comunicação / Informação / Capacitação Externa")</f>
        <v>20. Ação de Comunicação / Informação / Capacitação Externa</v>
      </c>
      <c r="B39" s="54">
        <f>IFERROR(__xludf.DUMMYFUNCTION("""COMPUTED_VALUE"""),44986.0)</f>
        <v>44986</v>
      </c>
      <c r="C39" s="48" t="str">
        <f>IFERROR(__xludf.DUMMYFUNCTION("""COMPUTED_VALUE"""),"40")</f>
        <v>40</v>
      </c>
    </row>
    <row r="40">
      <c r="A40" s="48" t="str">
        <f>IFERROR(__xludf.DUMMYFUNCTION("""COMPUTED_VALUE"""),"20. Ação de Comunicação / Informação / Capacitação Externa")</f>
        <v>20. Ação de Comunicação / Informação / Capacitação Externa</v>
      </c>
      <c r="B40" s="54">
        <f>IFERROR(__xludf.DUMMYFUNCTION("""COMPUTED_VALUE"""),44986.0)</f>
        <v>44986</v>
      </c>
      <c r="C40" s="48" t="str">
        <f>IFERROR(__xludf.DUMMYFUNCTION("""COMPUTED_VALUE"""),"15")</f>
        <v>15</v>
      </c>
    </row>
    <row r="41">
      <c r="A41" s="48" t="str">
        <f>IFERROR(__xludf.DUMMYFUNCTION("""COMPUTED_VALUE"""),"24. Projetos ou atividades Específicos")</f>
        <v>24. Projetos ou atividades Específicos</v>
      </c>
      <c r="B41" s="54">
        <f>IFERROR(__xludf.DUMMYFUNCTION("""COMPUTED_VALUE"""),44986.0)</f>
        <v>44986</v>
      </c>
      <c r="C41" s="48" t="str">
        <f>IFERROR(__xludf.DUMMYFUNCTION("""COMPUTED_VALUE"""),"1")</f>
        <v>1</v>
      </c>
    </row>
    <row r="42">
      <c r="A42" s="48" t="str">
        <f>IFERROR(__xludf.DUMMYFUNCTION("""COMPUTED_VALUE"""),"18. Mobilização Social")</f>
        <v>18. Mobilização Social</v>
      </c>
      <c r="B42" s="54">
        <f>IFERROR(__xludf.DUMMYFUNCTION("""COMPUTED_VALUE"""),44986.0)</f>
        <v>44986</v>
      </c>
      <c r="C42" s="48" t="str">
        <f>IFERROR(__xludf.DUMMYFUNCTION("""COMPUTED_VALUE"""),"40")</f>
        <v>40</v>
      </c>
    </row>
    <row r="43">
      <c r="A43" s="48" t="str">
        <f>IFERROR(__xludf.DUMMYFUNCTION("""COMPUTED_VALUE"""),"18. Mobilização Social")</f>
        <v>18. Mobilização Social</v>
      </c>
      <c r="B43" s="54">
        <f>IFERROR(__xludf.DUMMYFUNCTION("""COMPUTED_VALUE"""),44986.0)</f>
        <v>44986</v>
      </c>
      <c r="C43" s="48" t="str">
        <f>IFERROR(__xludf.DUMMYFUNCTION("""COMPUTED_VALUE"""),"7")</f>
        <v>7</v>
      </c>
    </row>
    <row r="44">
      <c r="A44" s="48" t="str">
        <f>IFERROR(__xludf.DUMMYFUNCTION("""COMPUTED_VALUE"""),"18. Mobilização Social")</f>
        <v>18. Mobilização Social</v>
      </c>
      <c r="B44" s="54">
        <f>IFERROR(__xludf.DUMMYFUNCTION("""COMPUTED_VALUE"""),44986.0)</f>
        <v>44986</v>
      </c>
      <c r="C44" s="48" t="str">
        <f>IFERROR(__xludf.DUMMYFUNCTION("""COMPUTED_VALUE"""),"6")</f>
        <v>6</v>
      </c>
    </row>
    <row r="45">
      <c r="A45" s="48" t="str">
        <f>IFERROR(__xludf.DUMMYFUNCTION("""COMPUTED_VALUE"""),"20. Ação de Comunicação / Informação / Capacitação Externa")</f>
        <v>20. Ação de Comunicação / Informação / Capacitação Externa</v>
      </c>
      <c r="B45" s="54">
        <f>IFERROR(__xludf.DUMMYFUNCTION("""COMPUTED_VALUE"""),44986.0)</f>
        <v>44986</v>
      </c>
      <c r="C45" s="48" t="str">
        <f>IFERROR(__xludf.DUMMYFUNCTION("""COMPUTED_VALUE"""),"5")</f>
        <v>5</v>
      </c>
    </row>
    <row r="46">
      <c r="A46" s="48" t="str">
        <f>IFERROR(__xludf.DUMMYFUNCTION("""COMPUTED_VALUE"""),"24. Projetos ou atividades Específicos")</f>
        <v>24. Projetos ou atividades Específicos</v>
      </c>
      <c r="B46" s="54">
        <f>IFERROR(__xludf.DUMMYFUNCTION("""COMPUTED_VALUE"""),44987.0)</f>
        <v>44987</v>
      </c>
      <c r="C46" s="48" t="str">
        <f>IFERROR(__xludf.DUMMYFUNCTION("""COMPUTED_VALUE"""),"1")</f>
        <v>1</v>
      </c>
    </row>
    <row r="47">
      <c r="A47" s="48" t="str">
        <f>IFERROR(__xludf.DUMMYFUNCTION("""COMPUTED_VALUE"""),"20. Ação de Comunicação / Informação / Capacitação Externa")</f>
        <v>20. Ação de Comunicação / Informação / Capacitação Externa</v>
      </c>
      <c r="B47" s="54">
        <f>IFERROR(__xludf.DUMMYFUNCTION("""COMPUTED_VALUE"""),44987.0)</f>
        <v>44987</v>
      </c>
      <c r="C47" s="48"/>
    </row>
    <row r="48">
      <c r="A48" s="48" t="str">
        <f>IFERROR(__xludf.DUMMYFUNCTION("""COMPUTED_VALUE"""),"20. Ação de Comunicação / Informação / Capacitação Externa")</f>
        <v>20. Ação de Comunicação / Informação / Capacitação Externa</v>
      </c>
      <c r="B48" s="54">
        <f>IFERROR(__xludf.DUMMYFUNCTION("""COMPUTED_VALUE"""),44987.0)</f>
        <v>44987</v>
      </c>
      <c r="C48" s="48"/>
    </row>
    <row r="49">
      <c r="A49" s="48" t="str">
        <f>IFERROR(__xludf.DUMMYFUNCTION("""COMPUTED_VALUE"""),"20. Ação de Comunicação / Informação / Capacitação Externa")</f>
        <v>20. Ação de Comunicação / Informação / Capacitação Externa</v>
      </c>
      <c r="B49" s="54">
        <f>IFERROR(__xludf.DUMMYFUNCTION("""COMPUTED_VALUE"""),44987.0)</f>
        <v>44987</v>
      </c>
      <c r="C49" s="48"/>
    </row>
    <row r="50">
      <c r="A50" s="48" t="str">
        <f>IFERROR(__xludf.DUMMYFUNCTION("""COMPUTED_VALUE"""),"8. CBH – Reunião de Diretoria do CBH")</f>
        <v>8. CBH – Reunião de Diretoria do CBH</v>
      </c>
      <c r="B50" s="54">
        <f>IFERROR(__xludf.DUMMYFUNCTION("""COMPUTED_VALUE"""),44987.0)</f>
        <v>44987</v>
      </c>
      <c r="C50" s="48" t="str">
        <f>IFERROR(__xludf.DUMMYFUNCTION("""COMPUTED_VALUE"""),"5")</f>
        <v>5</v>
      </c>
    </row>
    <row r="51">
      <c r="A51" s="48" t="str">
        <f>IFERROR(__xludf.DUMMYFUNCTION("""COMPUTED_VALUE"""),"20. Ação de Comunicação / Informação / Capacitação Externa")</f>
        <v>20. Ação de Comunicação / Informação / Capacitação Externa</v>
      </c>
      <c r="B51" s="54">
        <f>IFERROR(__xludf.DUMMYFUNCTION("""COMPUTED_VALUE"""),44988.0)</f>
        <v>44988</v>
      </c>
      <c r="C51" s="48"/>
    </row>
    <row r="52">
      <c r="A52" s="48" t="str">
        <f>IFERROR(__xludf.DUMMYFUNCTION("""COMPUTED_VALUE"""),"20. Ação de Comunicação / Informação / Capacitação Externa")</f>
        <v>20. Ação de Comunicação / Informação / Capacitação Externa</v>
      </c>
      <c r="B52" s="54">
        <f>IFERROR(__xludf.DUMMYFUNCTION("""COMPUTED_VALUE"""),44991.0)</f>
        <v>44991</v>
      </c>
      <c r="C52" s="48"/>
    </row>
    <row r="53">
      <c r="A53" s="48" t="str">
        <f>IFERROR(__xludf.DUMMYFUNCTION("""COMPUTED_VALUE"""),"20. Ação de Comunicação / Informação / Capacitação Externa")</f>
        <v>20. Ação de Comunicação / Informação / Capacitação Externa</v>
      </c>
      <c r="B53" s="54">
        <f>IFERROR(__xludf.DUMMYFUNCTION("""COMPUTED_VALUE"""),44991.0)</f>
        <v>44991</v>
      </c>
      <c r="C53" s="48"/>
    </row>
    <row r="54">
      <c r="A54" s="48" t="str">
        <f>IFERROR(__xludf.DUMMYFUNCTION("""COMPUTED_VALUE"""),"18. Mobilização Social")</f>
        <v>18. Mobilização Social</v>
      </c>
      <c r="B54" s="54">
        <f>IFERROR(__xludf.DUMMYFUNCTION("""COMPUTED_VALUE"""),44991.0)</f>
        <v>44991</v>
      </c>
      <c r="C54" s="48" t="str">
        <f>IFERROR(__xludf.DUMMYFUNCTION("""COMPUTED_VALUE"""),"6")</f>
        <v>6</v>
      </c>
    </row>
    <row r="55">
      <c r="A55" s="48" t="str">
        <f>IFERROR(__xludf.DUMMYFUNCTION("""COMPUTED_VALUE"""),"20. Ação de Comunicação / Informação / Capacitação Externa")</f>
        <v>20. Ação de Comunicação / Informação / Capacitação Externa</v>
      </c>
      <c r="B55" s="54">
        <f>IFERROR(__xludf.DUMMYFUNCTION("""COMPUTED_VALUE"""),44991.0)</f>
        <v>44991</v>
      </c>
      <c r="C55" s="48"/>
    </row>
    <row r="56">
      <c r="A56" s="48" t="str">
        <f>IFERROR(__xludf.DUMMYFUNCTION("""COMPUTED_VALUE"""),"24. Projetos ou atividades Específicos")</f>
        <v>24. Projetos ou atividades Específicos</v>
      </c>
      <c r="B56" s="54">
        <f>IFERROR(__xludf.DUMMYFUNCTION("""COMPUTED_VALUE"""),44991.0)</f>
        <v>44991</v>
      </c>
      <c r="C56" s="48"/>
    </row>
    <row r="57">
      <c r="A57" s="48" t="str">
        <f>IFERROR(__xludf.DUMMYFUNCTION("""COMPUTED_VALUE"""),"7. CBH – Reunião Extraordinária do Comitê")</f>
        <v>7. CBH – Reunião Extraordinária do Comitê</v>
      </c>
      <c r="B57" s="54">
        <f>IFERROR(__xludf.DUMMYFUNCTION("""COMPUTED_VALUE"""),44992.0)</f>
        <v>44992</v>
      </c>
      <c r="C57" s="48"/>
    </row>
    <row r="58">
      <c r="A58" s="48" t="str">
        <f>IFERROR(__xludf.DUMMYFUNCTION("""COMPUTED_VALUE"""),"7. CBH – Reunião Extraordinária do Comitê")</f>
        <v>7. CBH – Reunião Extraordinária do Comitê</v>
      </c>
      <c r="B58" s="54">
        <f>IFERROR(__xludf.DUMMYFUNCTION("""COMPUTED_VALUE"""),44993.0)</f>
        <v>44993</v>
      </c>
      <c r="C58" s="48" t="str">
        <f>IFERROR(__xludf.DUMMYFUNCTION("""COMPUTED_VALUE"""),"31")</f>
        <v>31</v>
      </c>
    </row>
    <row r="59">
      <c r="A59" s="48" t="str">
        <f>IFERROR(__xludf.DUMMYFUNCTION("""COMPUTED_VALUE"""),"10. CBH – Capacitação do Comitê")</f>
        <v>10. CBH – Capacitação do Comitê</v>
      </c>
      <c r="B59" s="54">
        <f>IFERROR(__xludf.DUMMYFUNCTION("""COMPUTED_VALUE"""),44993.0)</f>
        <v>44993</v>
      </c>
      <c r="C59" s="48" t="str">
        <f>IFERROR(__xludf.DUMMYFUNCTION("""COMPUTED_VALUE"""),"31")</f>
        <v>31</v>
      </c>
    </row>
    <row r="60">
      <c r="A60" s="48" t="str">
        <f>IFERROR(__xludf.DUMMYFUNCTION("""COMPUTED_VALUE"""),"7. CBH – Reunião Extraordinária do Comitê")</f>
        <v>7. CBH – Reunião Extraordinária do Comitê</v>
      </c>
      <c r="B60" s="54">
        <f>IFERROR(__xludf.DUMMYFUNCTION("""COMPUTED_VALUE"""),44993.0)</f>
        <v>44993</v>
      </c>
      <c r="C60" s="48"/>
    </row>
    <row r="61">
      <c r="A61" s="48" t="str">
        <f>IFERROR(__xludf.DUMMYFUNCTION("""COMPUTED_VALUE"""),"9. CBH – Reunião de Câmara Técnica, Câmara específica ou GT")</f>
        <v>9. CBH – Reunião de Câmara Técnica, Câmara específica ou GT</v>
      </c>
      <c r="B61" s="54">
        <f>IFERROR(__xludf.DUMMYFUNCTION("""COMPUTED_VALUE"""),44995.0)</f>
        <v>44995</v>
      </c>
      <c r="C61" s="48" t="str">
        <f>IFERROR(__xludf.DUMMYFUNCTION("""COMPUTED_VALUE"""),"5")</f>
        <v>5</v>
      </c>
    </row>
    <row r="62">
      <c r="A62" s="48" t="str">
        <f>IFERROR(__xludf.DUMMYFUNCTION("""COMPUTED_VALUE"""),"20. Ação de Comunicação / Informação / Capacitação Externa")</f>
        <v>20. Ação de Comunicação / Informação / Capacitação Externa</v>
      </c>
      <c r="B62" s="54">
        <f>IFERROR(__xludf.DUMMYFUNCTION("""COMPUTED_VALUE"""),44995.0)</f>
        <v>44995</v>
      </c>
      <c r="C62" s="48"/>
    </row>
    <row r="63">
      <c r="A63" s="48" t="str">
        <f>IFERROR(__xludf.DUMMYFUNCTION("""COMPUTED_VALUE"""),"24. Projetos ou atividades Específicos")</f>
        <v>24. Projetos ou atividades Específicos</v>
      </c>
      <c r="B63" s="54">
        <f>IFERROR(__xludf.DUMMYFUNCTION("""COMPUTED_VALUE"""),44995.0)</f>
        <v>44995</v>
      </c>
      <c r="C63" s="48"/>
    </row>
    <row r="64">
      <c r="A64" s="48" t="str">
        <f>IFERROR(__xludf.DUMMYFUNCTION("""COMPUTED_VALUE"""),"12. CBH – Reunião do Fórum Cearense de Comitê")</f>
        <v>12. CBH – Reunião do Fórum Cearense de Comitê</v>
      </c>
      <c r="B64" s="54">
        <f>IFERROR(__xludf.DUMMYFUNCTION("""COMPUTED_VALUE"""),44998.0)</f>
        <v>44998</v>
      </c>
      <c r="C64" s="48" t="str">
        <f>IFERROR(__xludf.DUMMYFUNCTION("""COMPUTED_VALUE"""),"4")</f>
        <v>4</v>
      </c>
    </row>
    <row r="65">
      <c r="A65" s="48" t="str">
        <f>IFERROR(__xludf.DUMMYFUNCTION("""COMPUTED_VALUE"""),"20. Ação de Comunicação / Informação / Capacitação Externa")</f>
        <v>20. Ação de Comunicação / Informação / Capacitação Externa</v>
      </c>
      <c r="B65" s="54">
        <f>IFERROR(__xludf.DUMMYFUNCTION("""COMPUTED_VALUE"""),44998.0)</f>
        <v>44998</v>
      </c>
      <c r="C65" s="48"/>
    </row>
    <row r="66">
      <c r="A66" s="48" t="str">
        <f>IFERROR(__xludf.DUMMYFUNCTION("""COMPUTED_VALUE"""),"24. Projetos ou atividades Específicos")</f>
        <v>24. Projetos ou atividades Específicos</v>
      </c>
      <c r="B66" s="54">
        <f>IFERROR(__xludf.DUMMYFUNCTION("""COMPUTED_VALUE"""),44999.0)</f>
        <v>44999</v>
      </c>
      <c r="C66" s="48"/>
    </row>
    <row r="67">
      <c r="A67" s="48" t="str">
        <f>IFERROR(__xludf.DUMMYFUNCTION("""COMPUTED_VALUE"""),"20. Ação de Comunicação / Informação / Capacitação Externa")</f>
        <v>20. Ação de Comunicação / Informação / Capacitação Externa</v>
      </c>
      <c r="B67" s="54">
        <f>IFERROR(__xludf.DUMMYFUNCTION("""COMPUTED_VALUE"""),44999.0)</f>
        <v>44999</v>
      </c>
      <c r="C67" s="48"/>
    </row>
    <row r="68">
      <c r="A68" s="48" t="str">
        <f>IFERROR(__xludf.DUMMYFUNCTION("""COMPUTED_VALUE"""),"20. Ação de Comunicação / Informação / Capacitação Externa")</f>
        <v>20. Ação de Comunicação / Informação / Capacitação Externa</v>
      </c>
      <c r="B68" s="54">
        <f>IFERROR(__xludf.DUMMYFUNCTION("""COMPUTED_VALUE"""),45000.0)</f>
        <v>45000</v>
      </c>
      <c r="C68" s="48"/>
    </row>
    <row r="69">
      <c r="A69" s="48" t="str">
        <f>IFERROR(__xludf.DUMMYFUNCTION("""COMPUTED_VALUE"""),"24. Projetos ou atividades Específicos")</f>
        <v>24. Projetos ou atividades Específicos</v>
      </c>
      <c r="B69" s="54">
        <f>IFERROR(__xludf.DUMMYFUNCTION("""COMPUTED_VALUE"""),45000.0)</f>
        <v>45000</v>
      </c>
      <c r="C69" s="48"/>
    </row>
    <row r="70">
      <c r="A70" s="48" t="str">
        <f>IFERROR(__xludf.DUMMYFUNCTION("""COMPUTED_VALUE"""),"17. CG – Apoio à Formação de CG nos reservatórios (e renovação)")</f>
        <v>17. CG – Apoio à Formação de CG nos reservatórios (e renovação)</v>
      </c>
      <c r="B70" s="54">
        <f>IFERROR(__xludf.DUMMYFUNCTION("""COMPUTED_VALUE"""),45001.0)</f>
        <v>45001</v>
      </c>
      <c r="C70" s="48"/>
    </row>
    <row r="71">
      <c r="A71" s="48" t="str">
        <f>IFERROR(__xludf.DUMMYFUNCTION("""COMPUTED_VALUE"""),"17. CG – Apoio à Formação de CG nos reservatórios (e renovação)")</f>
        <v>17. CG – Apoio à Formação de CG nos reservatórios (e renovação)</v>
      </c>
      <c r="B71" s="54">
        <f>IFERROR(__xludf.DUMMYFUNCTION("""COMPUTED_VALUE"""),45002.0)</f>
        <v>45002</v>
      </c>
      <c r="C71" s="48"/>
    </row>
    <row r="72">
      <c r="A72" s="48" t="str">
        <f>IFERROR(__xludf.DUMMYFUNCTION("""COMPUTED_VALUE"""),"20. Ação de Comunicação / Informação / Capacitação Externa")</f>
        <v>20. Ação de Comunicação / Informação / Capacitação Externa</v>
      </c>
      <c r="B72" s="54">
        <f>IFERROR(__xludf.DUMMYFUNCTION("""COMPUTED_VALUE"""),45005.0)</f>
        <v>45005</v>
      </c>
      <c r="C72" s="48" t="str">
        <f>IFERROR(__xludf.DUMMYFUNCTION("""COMPUTED_VALUE"""),"2")</f>
        <v>2</v>
      </c>
    </row>
    <row r="73">
      <c r="A73" s="48" t="str">
        <f>IFERROR(__xludf.DUMMYFUNCTION("""COMPUTED_VALUE"""),"20. Ação de Comunicação / Informação / Capacitação Externa")</f>
        <v>20. Ação de Comunicação / Informação / Capacitação Externa</v>
      </c>
      <c r="B73" s="54">
        <f>IFERROR(__xludf.DUMMYFUNCTION("""COMPUTED_VALUE"""),45005.0)</f>
        <v>45005</v>
      </c>
      <c r="C73" s="48"/>
    </row>
    <row r="74">
      <c r="A74" s="48" t="str">
        <f>IFERROR(__xludf.DUMMYFUNCTION("""COMPUTED_VALUE"""),"20. Ação de Comunicação / Informação / Capacitação Externa")</f>
        <v>20. Ação de Comunicação / Informação / Capacitação Externa</v>
      </c>
      <c r="B74" s="54">
        <f>IFERROR(__xludf.DUMMYFUNCTION("""COMPUTED_VALUE"""),45006.0)</f>
        <v>45006</v>
      </c>
      <c r="C74" s="48"/>
    </row>
    <row r="75">
      <c r="A75" s="48" t="str">
        <f>IFERROR(__xludf.DUMMYFUNCTION("""COMPUTED_VALUE"""),"20. Ação de Comunicação / Informação / Capacitação Externa")</f>
        <v>20. Ação de Comunicação / Informação / Capacitação Externa</v>
      </c>
      <c r="B75" s="54">
        <f>IFERROR(__xludf.DUMMYFUNCTION("""COMPUTED_VALUE"""),45006.0)</f>
        <v>45006</v>
      </c>
      <c r="C75" s="48"/>
    </row>
    <row r="76">
      <c r="A76" s="48" t="str">
        <f>IFERROR(__xludf.DUMMYFUNCTION("""COMPUTED_VALUE"""),"20. Ação de Comunicação / Informação / Capacitação Externa")</f>
        <v>20. Ação de Comunicação / Informação / Capacitação Externa</v>
      </c>
      <c r="B76" s="54">
        <f>IFERROR(__xludf.DUMMYFUNCTION("""COMPUTED_VALUE"""),45006.0)</f>
        <v>45006</v>
      </c>
      <c r="C76" s="48"/>
    </row>
    <row r="77">
      <c r="A77" s="48" t="str">
        <f>IFERROR(__xludf.DUMMYFUNCTION("""COMPUTED_VALUE"""),"20. Ação de Comunicação / Informação / Capacitação Externa")</f>
        <v>20. Ação de Comunicação / Informação / Capacitação Externa</v>
      </c>
      <c r="B77" s="54">
        <f>IFERROR(__xludf.DUMMYFUNCTION("""COMPUTED_VALUE"""),45008.0)</f>
        <v>45008</v>
      </c>
      <c r="C77" s="48" t="str">
        <f>IFERROR(__xludf.DUMMYFUNCTION("""COMPUTED_VALUE"""),"1")</f>
        <v>1</v>
      </c>
    </row>
    <row r="78">
      <c r="A78" s="48" t="str">
        <f>IFERROR(__xludf.DUMMYFUNCTION("""COMPUTED_VALUE"""),"20. Ação de Comunicação / Informação / Capacitação Externa")</f>
        <v>20. Ação de Comunicação / Informação / Capacitação Externa</v>
      </c>
      <c r="B78" s="54">
        <f>IFERROR(__xludf.DUMMYFUNCTION("""COMPUTED_VALUE"""),45008.0)</f>
        <v>45008</v>
      </c>
      <c r="C78" s="48"/>
    </row>
    <row r="79">
      <c r="A79" s="48" t="str">
        <f>IFERROR(__xludf.DUMMYFUNCTION("""COMPUTED_VALUE"""),"23. Audiência Pública")</f>
        <v>23. Audiência Pública</v>
      </c>
      <c r="B79" s="54">
        <f>IFERROR(__xludf.DUMMYFUNCTION("""COMPUTED_VALUE"""),45009.0)</f>
        <v>45009</v>
      </c>
      <c r="C79" s="48" t="str">
        <f>IFERROR(__xludf.DUMMYFUNCTION("""COMPUTED_VALUE"""),"1")</f>
        <v>1</v>
      </c>
    </row>
    <row r="80">
      <c r="A80" s="48" t="str">
        <f>IFERROR(__xludf.DUMMYFUNCTION("""COMPUTED_VALUE"""),"24. Projetos ou atividades Específicos")</f>
        <v>24. Projetos ou atividades Específicos</v>
      </c>
      <c r="B80" s="54">
        <f>IFERROR(__xludf.DUMMYFUNCTION("""COMPUTED_VALUE"""),45009.0)</f>
        <v>45009</v>
      </c>
      <c r="C80" s="48"/>
    </row>
    <row r="81">
      <c r="A81" s="48" t="str">
        <f>IFERROR(__xludf.DUMMYFUNCTION("""COMPUTED_VALUE"""),"20. Ação de Comunicação / Informação / Capacitação Externa")</f>
        <v>20. Ação de Comunicação / Informação / Capacitação Externa</v>
      </c>
      <c r="B81" s="54">
        <f>IFERROR(__xludf.DUMMYFUNCTION("""COMPUTED_VALUE"""),45012.0)</f>
        <v>45012</v>
      </c>
      <c r="C81" s="48" t="str">
        <f>IFERROR(__xludf.DUMMYFUNCTION("""COMPUTED_VALUE"""),"1")</f>
        <v>1</v>
      </c>
    </row>
    <row r="82">
      <c r="A82" s="48" t="str">
        <f>IFERROR(__xludf.DUMMYFUNCTION("""COMPUTED_VALUE"""),"24. Projetos ou atividades Específicos")</f>
        <v>24. Projetos ou atividades Específicos</v>
      </c>
      <c r="B82" s="54">
        <f>IFERROR(__xludf.DUMMYFUNCTION("""COMPUTED_VALUE"""),45013.0)</f>
        <v>45013</v>
      </c>
      <c r="C82" s="48" t="str">
        <f>IFERROR(__xludf.DUMMYFUNCTION("""COMPUTED_VALUE"""),"2")</f>
        <v>2</v>
      </c>
    </row>
    <row r="83">
      <c r="A83" s="48" t="str">
        <f>IFERROR(__xludf.DUMMYFUNCTION("""COMPUTED_VALUE"""),"24. Projetos ou atividades Específicos")</f>
        <v>24. Projetos ou atividades Específicos</v>
      </c>
      <c r="B83" s="54">
        <f>IFERROR(__xludf.DUMMYFUNCTION("""COMPUTED_VALUE"""),45014.0)</f>
        <v>45014</v>
      </c>
      <c r="C83" s="48" t="str">
        <f>IFERROR(__xludf.DUMMYFUNCTION("""COMPUTED_VALUE"""),"1")</f>
        <v>1</v>
      </c>
    </row>
    <row r="84">
      <c r="A84" s="48" t="str">
        <f>IFERROR(__xludf.DUMMYFUNCTION("""COMPUTED_VALUE"""),"24. Projetos ou atividades Específicos")</f>
        <v>24. Projetos ou atividades Específicos</v>
      </c>
      <c r="B84" s="54">
        <f>IFERROR(__xludf.DUMMYFUNCTION("""COMPUTED_VALUE"""),45015.0)</f>
        <v>45015</v>
      </c>
      <c r="C84" s="48"/>
    </row>
    <row r="85">
      <c r="A85" s="48" t="str">
        <f>IFERROR(__xludf.DUMMYFUNCTION("""COMPUTED_VALUE"""),"24. Projetos ou atividades Específicos")</f>
        <v>24. Projetos ou atividades Específicos</v>
      </c>
      <c r="B85" s="54">
        <f>IFERROR(__xludf.DUMMYFUNCTION("""COMPUTED_VALUE"""),45016.0)</f>
        <v>45016</v>
      </c>
      <c r="C85" s="48"/>
    </row>
    <row r="86">
      <c r="A86" s="48" t="str">
        <f>IFERROR(__xludf.DUMMYFUNCTION("""COMPUTED_VALUE"""),"18. Mobilização Social")</f>
        <v>18. Mobilização Social</v>
      </c>
      <c r="B86" s="54">
        <f>IFERROR(__xludf.DUMMYFUNCTION("""COMPUTED_VALUE"""),45019.0)</f>
        <v>45019</v>
      </c>
      <c r="C86" s="48" t="str">
        <f>IFERROR(__xludf.DUMMYFUNCTION("""COMPUTED_VALUE"""),"4")</f>
        <v>4</v>
      </c>
    </row>
    <row r="87">
      <c r="A87" s="48" t="str">
        <f>IFERROR(__xludf.DUMMYFUNCTION("""COMPUTED_VALUE"""),"24. Projetos ou atividades Específicos")</f>
        <v>24. Projetos ou atividades Específicos</v>
      </c>
      <c r="B87" s="54">
        <f>IFERROR(__xludf.DUMMYFUNCTION("""COMPUTED_VALUE"""),44989.0)</f>
        <v>44989</v>
      </c>
      <c r="C87" s="48"/>
    </row>
    <row r="88">
      <c r="A88" s="48" t="str">
        <f>IFERROR(__xludf.DUMMYFUNCTION("""COMPUTED_VALUE"""),"24. Projetos ou atividades Específicos")</f>
        <v>24. Projetos ou atividades Específicos</v>
      </c>
      <c r="B88" s="54">
        <f>IFERROR(__xludf.DUMMYFUNCTION("""COMPUTED_VALUE"""),45021.0)</f>
        <v>45021</v>
      </c>
      <c r="C88" s="48"/>
    </row>
    <row r="89">
      <c r="A89" s="48" t="str">
        <f>IFERROR(__xludf.DUMMYFUNCTION("""COMPUTED_VALUE"""),"20. Ação de Comunicação / Informação / Capacitação Externa")</f>
        <v>20. Ação de Comunicação / Informação / Capacitação Externa</v>
      </c>
      <c r="B89" s="54">
        <f>IFERROR(__xludf.DUMMYFUNCTION("""COMPUTED_VALUE"""),45026.0)</f>
        <v>45026</v>
      </c>
      <c r="C89" s="48"/>
    </row>
    <row r="90">
      <c r="A90" s="48" t="str">
        <f>IFERROR(__xludf.DUMMYFUNCTION("""COMPUTED_VALUE"""),"8. CBH – Reunião de Diretoria do CBH")</f>
        <v>8. CBH – Reunião de Diretoria do CBH</v>
      </c>
      <c r="B90" s="54">
        <f>IFERROR(__xludf.DUMMYFUNCTION("""COMPUTED_VALUE"""),44996.0)</f>
        <v>44996</v>
      </c>
      <c r="C90" s="48" t="str">
        <f>IFERROR(__xludf.DUMMYFUNCTION("""COMPUTED_VALUE"""),"4")</f>
        <v>4</v>
      </c>
    </row>
    <row r="91">
      <c r="A91" s="48" t="str">
        <f>IFERROR(__xludf.DUMMYFUNCTION("""COMPUTED_VALUE"""),"15. CG – Reunião de Comissão Gestora")</f>
        <v>15. CG – Reunião de Comissão Gestora</v>
      </c>
      <c r="B91" s="54">
        <f>IFERROR(__xludf.DUMMYFUNCTION("""COMPUTED_VALUE"""),45028.0)</f>
        <v>45028</v>
      </c>
      <c r="C91" s="48" t="str">
        <f>IFERROR(__xludf.DUMMYFUNCTION("""COMPUTED_VALUE"""),"7")</f>
        <v>7</v>
      </c>
    </row>
    <row r="92">
      <c r="A92" s="48" t="str">
        <f>IFERROR(__xludf.DUMMYFUNCTION("""COMPUTED_VALUE"""),"9. CBH – Reunião de Câmara Técnica, Câmara específica ou GT")</f>
        <v>9. CBH – Reunião de Câmara Técnica, Câmara específica ou GT</v>
      </c>
      <c r="B92" s="54">
        <f>IFERROR(__xludf.DUMMYFUNCTION("""COMPUTED_VALUE"""),45029.0)</f>
        <v>45029</v>
      </c>
      <c r="C92" s="48" t="str">
        <f>IFERROR(__xludf.DUMMYFUNCTION("""COMPUTED_VALUE"""),"10")</f>
        <v>10</v>
      </c>
    </row>
    <row r="93">
      <c r="A93" s="48" t="str">
        <f>IFERROR(__xludf.DUMMYFUNCTION("""COMPUTED_VALUE"""),"24. Projetos ou atividades Específicos")</f>
        <v>24. Projetos ou atividades Específicos</v>
      </c>
      <c r="B93" s="54">
        <f>IFERROR(__xludf.DUMMYFUNCTION("""COMPUTED_VALUE"""),45030.0)</f>
        <v>45030</v>
      </c>
      <c r="C93" s="48" t="str">
        <f>IFERROR(__xludf.DUMMYFUNCTION("""COMPUTED_VALUE"""),"3")</f>
        <v>3</v>
      </c>
    </row>
    <row r="94">
      <c r="A94" s="48" t="str">
        <f>IFERROR(__xludf.DUMMYFUNCTION("""COMPUTED_VALUE"""),"12. CBH – Reunião do Fórum Cearense de Comitê")</f>
        <v>12. CBH – Reunião do Fórum Cearense de Comitê</v>
      </c>
      <c r="B94" s="54">
        <f>IFERROR(__xludf.DUMMYFUNCTION("""COMPUTED_VALUE"""),45071.0)</f>
        <v>45071</v>
      </c>
      <c r="C94" s="48" t="str">
        <f>IFERROR(__xludf.DUMMYFUNCTION("""COMPUTED_VALUE"""),"1")</f>
        <v>1</v>
      </c>
    </row>
    <row r="95">
      <c r="A95" s="48" t="str">
        <f>IFERROR(__xludf.DUMMYFUNCTION("""COMPUTED_VALUE"""),"20. Ação de Comunicação / Informação / Capacitação Externa")</f>
        <v>20. Ação de Comunicação / Informação / Capacitação Externa</v>
      </c>
      <c r="B95" s="54">
        <f>IFERROR(__xludf.DUMMYFUNCTION("""COMPUTED_VALUE"""),45047.0)</f>
        <v>45047</v>
      </c>
      <c r="C95" s="48"/>
    </row>
    <row r="96">
      <c r="A96" s="48" t="str">
        <f>IFERROR(__xludf.DUMMYFUNCTION("""COMPUTED_VALUE"""),"17. CG – Apoio à Formação de CG nos reservatórios (e renovação)")</f>
        <v>17. CG – Apoio à Formação de CG nos reservatórios (e renovação)</v>
      </c>
      <c r="B96" s="54">
        <f>IFERROR(__xludf.DUMMYFUNCTION("""COMPUTED_VALUE"""),45048.0)</f>
        <v>45048</v>
      </c>
      <c r="C96" s="48"/>
    </row>
    <row r="97">
      <c r="A97" s="48" t="str">
        <f>IFERROR(__xludf.DUMMYFUNCTION("""COMPUTED_VALUE"""),"20. Ação de Comunicação / Informação / Capacitação Externa")</f>
        <v>20. Ação de Comunicação / Informação / Capacitação Externa</v>
      </c>
      <c r="B97" s="54">
        <f>IFERROR(__xludf.DUMMYFUNCTION("""COMPUTED_VALUE"""),45048.0)</f>
        <v>45048</v>
      </c>
      <c r="C97" s="48"/>
    </row>
    <row r="98">
      <c r="A98" s="48" t="str">
        <f>IFERROR(__xludf.DUMMYFUNCTION("""COMPUTED_VALUE"""),"24. Projetos ou atividades Específicos")</f>
        <v>24. Projetos ou atividades Específicos</v>
      </c>
      <c r="B98" s="54">
        <f>IFERROR(__xludf.DUMMYFUNCTION("""COMPUTED_VALUE"""),45048.0)</f>
        <v>45048</v>
      </c>
      <c r="C98" s="48"/>
    </row>
    <row r="99">
      <c r="A99" s="48" t="str">
        <f>IFERROR(__xludf.DUMMYFUNCTION("""COMPUTED_VALUE"""),"17. CG – Apoio à Formação de CG nos reservatórios (e renovação)")</f>
        <v>17. CG – Apoio à Formação de CG nos reservatórios (e renovação)</v>
      </c>
      <c r="B99" s="54">
        <f>IFERROR(__xludf.DUMMYFUNCTION("""COMPUTED_VALUE"""),45049.0)</f>
        <v>45049</v>
      </c>
      <c r="C99" s="48"/>
    </row>
    <row r="100">
      <c r="A100" s="48" t="str">
        <f>IFERROR(__xludf.DUMMYFUNCTION("""COMPUTED_VALUE"""),"20. Ação de Comunicação / Informação / Capacitação Externa")</f>
        <v>20. Ação de Comunicação / Informação / Capacitação Externa</v>
      </c>
      <c r="B100" s="54">
        <f>IFERROR(__xludf.DUMMYFUNCTION("""COMPUTED_VALUE"""),45050.0)</f>
        <v>45050</v>
      </c>
      <c r="C100" s="48"/>
    </row>
    <row r="101">
      <c r="A101" s="48" t="str">
        <f>IFERROR(__xludf.DUMMYFUNCTION("""COMPUTED_VALUE"""),"20. Ação de Comunicação / Informação / Capacitação Externa")</f>
        <v>20. Ação de Comunicação / Informação / Capacitação Externa</v>
      </c>
      <c r="B101" s="54">
        <f>IFERROR(__xludf.DUMMYFUNCTION("""COMPUTED_VALUE"""),45051.0)</f>
        <v>45051</v>
      </c>
      <c r="C101" s="48"/>
    </row>
    <row r="102">
      <c r="A102" s="48" t="str">
        <f>IFERROR(__xludf.DUMMYFUNCTION("""COMPUTED_VALUE"""),"17. CG – Apoio à Formação de CG nos reservatórios (e renovação)")</f>
        <v>17. CG – Apoio à Formação de CG nos reservatórios (e renovação)</v>
      </c>
      <c r="B102" s="54">
        <f>IFERROR(__xludf.DUMMYFUNCTION("""COMPUTED_VALUE"""),45051.0)</f>
        <v>45051</v>
      </c>
      <c r="C102" s="48"/>
    </row>
    <row r="103">
      <c r="A103" s="48" t="str">
        <f>IFERROR(__xludf.DUMMYFUNCTION("""COMPUTED_VALUE"""),"17. CG – Apoio à Formação de CG nos reservatórios (e renovação)")</f>
        <v>17. CG – Apoio à Formação de CG nos reservatórios (e renovação)</v>
      </c>
      <c r="B103" s="54">
        <f>IFERROR(__xludf.DUMMYFUNCTION("""COMPUTED_VALUE"""),45054.0)</f>
        <v>45054</v>
      </c>
      <c r="C103" s="48"/>
    </row>
    <row r="104">
      <c r="A104" s="48" t="str">
        <f>IFERROR(__xludf.DUMMYFUNCTION("""COMPUTED_VALUE"""),"17. CG – Apoio à Formação de CG nos reservatórios (e renovação)")</f>
        <v>17. CG – Apoio à Formação de CG nos reservatórios (e renovação)</v>
      </c>
      <c r="B104" s="54">
        <f>IFERROR(__xludf.DUMMYFUNCTION("""COMPUTED_VALUE"""),45056.0)</f>
        <v>45056</v>
      </c>
      <c r="C104" s="48"/>
    </row>
    <row r="105">
      <c r="A105" s="48" t="str">
        <f>IFERROR(__xludf.DUMMYFUNCTION("""COMPUTED_VALUE"""),"20. Ação de Comunicação / Informação / Capacitação Externa")</f>
        <v>20. Ação de Comunicação / Informação / Capacitação Externa</v>
      </c>
      <c r="B105" s="54">
        <f>IFERROR(__xludf.DUMMYFUNCTION("""COMPUTED_VALUE"""),45056.0)</f>
        <v>45056</v>
      </c>
      <c r="C105" s="48"/>
    </row>
    <row r="106">
      <c r="A106" s="48" t="str">
        <f>IFERROR(__xludf.DUMMYFUNCTION("""COMPUTED_VALUE"""),"24. Projetos ou atividades Específicos")</f>
        <v>24. Projetos ou atividades Específicos</v>
      </c>
      <c r="B106" s="54">
        <f>IFERROR(__xludf.DUMMYFUNCTION("""COMPUTED_VALUE"""),45056.0)</f>
        <v>45056</v>
      </c>
      <c r="C106" s="48"/>
    </row>
    <row r="107">
      <c r="A107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107" s="54">
        <f>IFERROR(__xludf.DUMMYFUNCTION("""COMPUTED_VALUE"""),45056.0)</f>
        <v>45056</v>
      </c>
      <c r="C107" s="48"/>
    </row>
    <row r="108">
      <c r="A108" s="48" t="str">
        <f>IFERROR(__xludf.DUMMYFUNCTION("""COMPUTED_VALUE"""),"17. CG – Apoio à Formação de CG nos reservatórios (e renovação)")</f>
        <v>17. CG – Apoio à Formação de CG nos reservatórios (e renovação)</v>
      </c>
      <c r="B108" s="54">
        <f>IFERROR(__xludf.DUMMYFUNCTION("""COMPUTED_VALUE"""),45058.0)</f>
        <v>45058</v>
      </c>
      <c r="C108" s="48"/>
    </row>
    <row r="109">
      <c r="A109" s="48" t="str">
        <f>IFERROR(__xludf.DUMMYFUNCTION("""COMPUTED_VALUE"""),"17. CG – Apoio à Formação de CG nos reservatórios (e renovação)")</f>
        <v>17. CG – Apoio à Formação de CG nos reservatórios (e renovação)</v>
      </c>
      <c r="B109" s="54">
        <f>IFERROR(__xludf.DUMMYFUNCTION("""COMPUTED_VALUE"""),45061.0)</f>
        <v>45061</v>
      </c>
      <c r="C109" s="48"/>
    </row>
    <row r="110">
      <c r="A110" s="48" t="str">
        <f>IFERROR(__xludf.DUMMYFUNCTION("""COMPUTED_VALUE"""),"20. Ação de Comunicação / Informação / Capacitação Externa")</f>
        <v>20. Ação de Comunicação / Informação / Capacitação Externa</v>
      </c>
      <c r="B110" s="54">
        <f>IFERROR(__xludf.DUMMYFUNCTION("""COMPUTED_VALUE"""),45061.0)</f>
        <v>45061</v>
      </c>
      <c r="C110" s="48"/>
    </row>
    <row r="111">
      <c r="A111" s="48" t="str">
        <f>IFERROR(__xludf.DUMMYFUNCTION("""COMPUTED_VALUE"""),"24. Projetos ou atividades Específicos")</f>
        <v>24. Projetos ou atividades Específicos</v>
      </c>
      <c r="B111" s="54">
        <f>IFERROR(__xludf.DUMMYFUNCTION("""COMPUTED_VALUE"""),45062.0)</f>
        <v>45062</v>
      </c>
      <c r="C111" s="48"/>
    </row>
    <row r="112">
      <c r="A112" s="48" t="str">
        <f>IFERROR(__xludf.DUMMYFUNCTION("""COMPUTED_VALUE"""),"24. Projetos ou atividades Específicos")</f>
        <v>24. Projetos ou atividades Específicos</v>
      </c>
      <c r="B112" s="54">
        <f>IFERROR(__xludf.DUMMYFUNCTION("""COMPUTED_VALUE"""),45062.0)</f>
        <v>45062</v>
      </c>
      <c r="C112" s="48"/>
    </row>
    <row r="113">
      <c r="A113" s="48" t="str">
        <f>IFERROR(__xludf.DUMMYFUNCTION("""COMPUTED_VALUE"""),"6. CBH – Reunião Ordinária do Comitê")</f>
        <v>6. CBH – Reunião Ordinária do Comitê</v>
      </c>
      <c r="B113" s="54">
        <f>IFERROR(__xludf.DUMMYFUNCTION("""COMPUTED_VALUE"""),45063.0)</f>
        <v>45063</v>
      </c>
      <c r="C113" s="48"/>
    </row>
    <row r="114">
      <c r="A114" s="48" t="str">
        <f>IFERROR(__xludf.DUMMYFUNCTION("""COMPUTED_VALUE"""),"10. CBH – Capacitação do Comitê")</f>
        <v>10. CBH – Capacitação do Comitê</v>
      </c>
      <c r="B114" s="54">
        <f>IFERROR(__xludf.DUMMYFUNCTION("""COMPUTED_VALUE"""),45063.0)</f>
        <v>45063</v>
      </c>
      <c r="C114" s="48"/>
    </row>
    <row r="115">
      <c r="A115" s="48" t="str">
        <f>IFERROR(__xludf.DUMMYFUNCTION("""COMPUTED_VALUE"""),"20. Ação de Comunicação / Informação / Capacitação Externa")</f>
        <v>20. Ação de Comunicação / Informação / Capacitação Externa</v>
      </c>
      <c r="B115" s="54">
        <f>IFERROR(__xludf.DUMMYFUNCTION("""COMPUTED_VALUE"""),45063.0)</f>
        <v>45063</v>
      </c>
      <c r="C115" s="48"/>
    </row>
    <row r="116">
      <c r="A116" s="48" t="str">
        <f>IFERROR(__xludf.DUMMYFUNCTION("""COMPUTED_VALUE"""),"24. Projetos ou atividades Específicos")</f>
        <v>24. Projetos ou atividades Específicos</v>
      </c>
      <c r="B116" s="54">
        <f>IFERROR(__xludf.DUMMYFUNCTION("""COMPUTED_VALUE"""),45063.0)</f>
        <v>45063</v>
      </c>
      <c r="C116" s="48"/>
    </row>
    <row r="117">
      <c r="A117" s="48" t="str">
        <f>IFERROR(__xludf.DUMMYFUNCTION("""COMPUTED_VALUE"""),"18. Mobilização Social")</f>
        <v>18. Mobilização Social</v>
      </c>
      <c r="B117" s="54">
        <f>IFERROR(__xludf.DUMMYFUNCTION("""COMPUTED_VALUE"""),45068.0)</f>
        <v>45068</v>
      </c>
      <c r="C117" s="48"/>
    </row>
    <row r="118">
      <c r="A118" s="48" t="str">
        <f>IFERROR(__xludf.DUMMYFUNCTION("""COMPUTED_VALUE"""),"18. Mobilização Social")</f>
        <v>18. Mobilização Social</v>
      </c>
      <c r="B118" s="54">
        <f>IFERROR(__xludf.DUMMYFUNCTION("""COMPUTED_VALUE"""),45069.0)</f>
        <v>45069</v>
      </c>
      <c r="C118" s="48"/>
    </row>
    <row r="119">
      <c r="A119" s="48" t="str">
        <f>IFERROR(__xludf.DUMMYFUNCTION("""COMPUTED_VALUE"""),"17. CG – Apoio à Formação de CG nos reservatórios (e renovação)")</f>
        <v>17. CG – Apoio à Formação de CG nos reservatórios (e renovação)</v>
      </c>
      <c r="B119" s="54">
        <f>IFERROR(__xludf.DUMMYFUNCTION("""COMPUTED_VALUE"""),45070.0)</f>
        <v>45070</v>
      </c>
      <c r="C119" s="48"/>
    </row>
    <row r="120">
      <c r="A120" s="48" t="str">
        <f>IFERROR(__xludf.DUMMYFUNCTION("""COMPUTED_VALUE"""),"20. Ação de Comunicação / Informação / Capacitação Externa")</f>
        <v>20. Ação de Comunicação / Informação / Capacitação Externa</v>
      </c>
      <c r="B120" s="54">
        <f>IFERROR(__xludf.DUMMYFUNCTION("""COMPUTED_VALUE"""),45070.0)</f>
        <v>45070</v>
      </c>
      <c r="C120" s="48"/>
    </row>
    <row r="121">
      <c r="A121" s="48" t="str">
        <f>IFERROR(__xludf.DUMMYFUNCTION("""COMPUTED_VALUE"""),"24. Projetos ou atividades Específicos")</f>
        <v>24. Projetos ou atividades Específicos</v>
      </c>
      <c r="B121" s="54">
        <f>IFERROR(__xludf.DUMMYFUNCTION("""COMPUTED_VALUE"""),45070.0)</f>
        <v>45070</v>
      </c>
      <c r="C121" s="48"/>
    </row>
    <row r="122">
      <c r="A122" s="48" t="str">
        <f>IFERROR(__xludf.DUMMYFUNCTION("""COMPUTED_VALUE"""),"18. Mobilização Social")</f>
        <v>18. Mobilização Social</v>
      </c>
      <c r="B122" s="54">
        <f>IFERROR(__xludf.DUMMYFUNCTION("""COMPUTED_VALUE"""),45075.0)</f>
        <v>45075</v>
      </c>
      <c r="C122" s="48"/>
    </row>
    <row r="123">
      <c r="A123" s="48" t="str">
        <f>IFERROR(__xludf.DUMMYFUNCTION("""COMPUTED_VALUE"""),"17. CG – Apoio à Formação de CG nos reservatórios (e renovação)")</f>
        <v>17. CG – Apoio à Formação de CG nos reservatórios (e renovação)</v>
      </c>
      <c r="B123" s="54">
        <f>IFERROR(__xludf.DUMMYFUNCTION("""COMPUTED_VALUE"""),45075.0)</f>
        <v>45075</v>
      </c>
      <c r="C123" s="48"/>
    </row>
    <row r="124">
      <c r="A124" s="48" t="str">
        <f>IFERROR(__xludf.DUMMYFUNCTION("""COMPUTED_VALUE"""),"24. Projetos ou atividades Específicos")</f>
        <v>24. Projetos ou atividades Específicos</v>
      </c>
      <c r="B124" s="54">
        <f>IFERROR(__xludf.DUMMYFUNCTION("""COMPUTED_VALUE"""),45075.0)</f>
        <v>45075</v>
      </c>
      <c r="C124" s="48"/>
    </row>
    <row r="125">
      <c r="A125" s="48" t="str">
        <f>IFERROR(__xludf.DUMMYFUNCTION("""COMPUTED_VALUE"""),"8. CBH – Reunião de Diretoria do CBH")</f>
        <v>8. CBH – Reunião de Diretoria do CBH</v>
      </c>
      <c r="B125" s="54">
        <f>IFERROR(__xludf.DUMMYFUNCTION("""COMPUTED_VALUE"""),45076.0)</f>
        <v>45076</v>
      </c>
      <c r="C125" s="48"/>
    </row>
    <row r="126">
      <c r="A126" s="48" t="str">
        <f>IFERROR(__xludf.DUMMYFUNCTION("""COMPUTED_VALUE"""),"20. Ação de Comunicação / Informação / Capacitação Externa")</f>
        <v>20. Ação de Comunicação / Informação / Capacitação Externa</v>
      </c>
      <c r="B126" s="54">
        <f>IFERROR(__xludf.DUMMYFUNCTION("""COMPUTED_VALUE"""),45076.0)</f>
        <v>45076</v>
      </c>
      <c r="C126" s="48"/>
    </row>
    <row r="127">
      <c r="A127" s="48" t="str">
        <f>IFERROR(__xludf.DUMMYFUNCTION("""COMPUTED_VALUE"""),"24. Projetos ou atividades Específicos")</f>
        <v>24. Projetos ou atividades Específicos</v>
      </c>
      <c r="B127" s="54">
        <f>IFERROR(__xludf.DUMMYFUNCTION("""COMPUTED_VALUE"""),45076.0)</f>
        <v>45076</v>
      </c>
      <c r="C127" s="48"/>
    </row>
    <row r="128">
      <c r="A128" s="48" t="str">
        <f>IFERROR(__xludf.DUMMYFUNCTION("""COMPUTED_VALUE"""),"20. Ação de Comunicação / Informação / Capacitação Externa")</f>
        <v>20. Ação de Comunicação / Informação / Capacitação Externa</v>
      </c>
      <c r="B128" s="54">
        <f>IFERROR(__xludf.DUMMYFUNCTION("""COMPUTED_VALUE"""),45078.0)</f>
        <v>45078</v>
      </c>
      <c r="C128" s="48" t="str">
        <f>IFERROR(__xludf.DUMMYFUNCTION("""COMPUTED_VALUE"""),"40")</f>
        <v>40</v>
      </c>
    </row>
    <row r="129">
      <c r="A129" s="48" t="str">
        <f>IFERROR(__xludf.DUMMYFUNCTION("""COMPUTED_VALUE"""),"24. Projetos ou atividades Específicos")</f>
        <v>24. Projetos ou atividades Específicos</v>
      </c>
      <c r="B129" s="54">
        <f>IFERROR(__xludf.DUMMYFUNCTION("""COMPUTED_VALUE"""),45078.0)</f>
        <v>45078</v>
      </c>
      <c r="C129" s="48"/>
    </row>
    <row r="130">
      <c r="A130" s="48" t="str">
        <f>IFERROR(__xludf.DUMMYFUNCTION("""COMPUTED_VALUE"""),"18. Mobilização Social")</f>
        <v>18. Mobilização Social</v>
      </c>
      <c r="B130" s="54">
        <f>IFERROR(__xludf.DUMMYFUNCTION("""COMPUTED_VALUE"""),45078.0)</f>
        <v>45078</v>
      </c>
      <c r="C130" s="48" t="str">
        <f>IFERROR(__xludf.DUMMYFUNCTION("""COMPUTED_VALUE"""),"5")</f>
        <v>5</v>
      </c>
    </row>
    <row r="131">
      <c r="A131" s="48" t="str">
        <f>IFERROR(__xludf.DUMMYFUNCTION("""COMPUTED_VALUE"""),"8. CBH – Reunião de Diretoria do CBH")</f>
        <v>8. CBH – Reunião de Diretoria do CBH</v>
      </c>
      <c r="B131" s="54">
        <f>IFERROR(__xludf.DUMMYFUNCTION("""COMPUTED_VALUE"""),45078.0)</f>
        <v>45078</v>
      </c>
      <c r="C131" s="48" t="str">
        <f>IFERROR(__xludf.DUMMYFUNCTION("""COMPUTED_VALUE"""),"3")</f>
        <v>3</v>
      </c>
    </row>
    <row r="132">
      <c r="A132" s="48" t="str">
        <f>IFERROR(__xludf.DUMMYFUNCTION("""COMPUTED_VALUE"""),"18. Mobilização Social")</f>
        <v>18. Mobilização Social</v>
      </c>
      <c r="B132" s="54">
        <f>IFERROR(__xludf.DUMMYFUNCTION("""COMPUTED_VALUE"""),45079.0)</f>
        <v>45079</v>
      </c>
      <c r="C132" s="48" t="str">
        <f>IFERROR(__xludf.DUMMYFUNCTION("""COMPUTED_VALUE"""),"3")</f>
        <v>3</v>
      </c>
    </row>
    <row r="133">
      <c r="A133" s="48" t="str">
        <f>IFERROR(__xludf.DUMMYFUNCTION("""COMPUTED_VALUE"""),"24. Projetos ou atividades Específicos")</f>
        <v>24. Projetos ou atividades Específicos</v>
      </c>
      <c r="B133" s="54">
        <f>IFERROR(__xludf.DUMMYFUNCTION("""COMPUTED_VALUE"""),45082.0)</f>
        <v>45082</v>
      </c>
      <c r="C133" s="48"/>
    </row>
    <row r="134">
      <c r="A134" s="48" t="str">
        <f>IFERROR(__xludf.DUMMYFUNCTION("""COMPUTED_VALUE"""),"24. Projetos ou atividades Específicos")</f>
        <v>24. Projetos ou atividades Específicos</v>
      </c>
      <c r="B134" s="54">
        <f>IFERROR(__xludf.DUMMYFUNCTION("""COMPUTED_VALUE"""),45082.0)</f>
        <v>45082</v>
      </c>
      <c r="C134" s="48" t="str">
        <f>IFERROR(__xludf.DUMMYFUNCTION("""COMPUTED_VALUE"""),"2")</f>
        <v>2</v>
      </c>
    </row>
    <row r="135">
      <c r="A135" s="48" t="str">
        <f>IFERROR(__xludf.DUMMYFUNCTION("""COMPUTED_VALUE"""),"20. Ação de Comunicação / Informação / Capacitação Externa")</f>
        <v>20. Ação de Comunicação / Informação / Capacitação Externa</v>
      </c>
      <c r="B135" s="54">
        <f>IFERROR(__xludf.DUMMYFUNCTION("""COMPUTED_VALUE"""),45082.0)</f>
        <v>45082</v>
      </c>
      <c r="C135" s="48"/>
    </row>
    <row r="136">
      <c r="A136" s="48" t="str">
        <f>IFERROR(__xludf.DUMMYFUNCTION("""COMPUTED_VALUE"""),"18. Mobilização Social")</f>
        <v>18. Mobilização Social</v>
      </c>
      <c r="B136" s="54">
        <f>IFERROR(__xludf.DUMMYFUNCTION("""COMPUTED_VALUE"""),45083.0)</f>
        <v>45083</v>
      </c>
      <c r="C136" s="48" t="str">
        <f>IFERROR(__xludf.DUMMYFUNCTION("""COMPUTED_VALUE"""),"1")</f>
        <v>1</v>
      </c>
    </row>
    <row r="137">
      <c r="A137" s="48" t="str">
        <f>IFERROR(__xludf.DUMMYFUNCTION("""COMPUTED_VALUE"""),"18. Mobilização Social")</f>
        <v>18. Mobilização Social</v>
      </c>
      <c r="B137" s="54">
        <f>IFERROR(__xludf.DUMMYFUNCTION("""COMPUTED_VALUE"""),45083.0)</f>
        <v>45083</v>
      </c>
      <c r="C137" s="48" t="str">
        <f>IFERROR(__xludf.DUMMYFUNCTION("""COMPUTED_VALUE"""),"40")</f>
        <v>40</v>
      </c>
    </row>
    <row r="138">
      <c r="A138" s="48" t="str">
        <f>IFERROR(__xludf.DUMMYFUNCTION("""COMPUTED_VALUE"""),"24. Projetos ou atividades Específicos")</f>
        <v>24. Projetos ou atividades Específicos</v>
      </c>
      <c r="B138" s="54">
        <f>IFERROR(__xludf.DUMMYFUNCTION("""COMPUTED_VALUE"""),45084.0)</f>
        <v>45084</v>
      </c>
      <c r="C138" s="48" t="str">
        <f>IFERROR(__xludf.DUMMYFUNCTION("""COMPUTED_VALUE"""),"2")</f>
        <v>2</v>
      </c>
    </row>
    <row r="139">
      <c r="A139" s="48" t="str">
        <f>IFERROR(__xludf.DUMMYFUNCTION("""COMPUTED_VALUE"""),"20. Ação de Comunicação / Informação / Capacitação Externa")</f>
        <v>20. Ação de Comunicação / Informação / Capacitação Externa</v>
      </c>
      <c r="B139" s="54">
        <f>IFERROR(__xludf.DUMMYFUNCTION("""COMPUTED_VALUE"""),45089.0)</f>
        <v>45089</v>
      </c>
      <c r="C139" s="48"/>
    </row>
    <row r="140">
      <c r="A140" s="48" t="str">
        <f>IFERROR(__xludf.DUMMYFUNCTION("""COMPUTED_VALUE"""),"6. CBH – Reunião Ordinária do Comitê")</f>
        <v>6. CBH – Reunião Ordinária do Comitê</v>
      </c>
      <c r="B140" s="54">
        <f>IFERROR(__xludf.DUMMYFUNCTION("""COMPUTED_VALUE"""),45090.0)</f>
        <v>45090</v>
      </c>
      <c r="C140" s="48" t="str">
        <f>IFERROR(__xludf.DUMMYFUNCTION("""COMPUTED_VALUE"""),"28")</f>
        <v>28</v>
      </c>
    </row>
    <row r="141">
      <c r="A141" s="48" t="str">
        <f>IFERROR(__xludf.DUMMYFUNCTION("""COMPUTED_VALUE"""),"24. Projetos ou atividades Específicos")</f>
        <v>24. Projetos ou atividades Específicos</v>
      </c>
      <c r="B141" s="54">
        <f>IFERROR(__xludf.DUMMYFUNCTION("""COMPUTED_VALUE"""),45090.0)</f>
        <v>45090</v>
      </c>
      <c r="C141" s="48"/>
    </row>
    <row r="142">
      <c r="A142" s="48" t="str">
        <f>IFERROR(__xludf.DUMMYFUNCTION("""COMPUTED_VALUE"""),"24. Projetos ou atividades Específicos")</f>
        <v>24. Projetos ou atividades Específicos</v>
      </c>
      <c r="B142" s="54">
        <f>IFERROR(__xludf.DUMMYFUNCTION("""COMPUTED_VALUE"""),45091.0)</f>
        <v>45091</v>
      </c>
      <c r="C142" s="48"/>
    </row>
    <row r="143">
      <c r="A143" s="48" t="str">
        <f>IFERROR(__xludf.DUMMYFUNCTION("""COMPUTED_VALUE"""),"24. Projetos ou atividades Específicos")</f>
        <v>24. Projetos ou atividades Específicos</v>
      </c>
      <c r="B143" s="54">
        <f>IFERROR(__xludf.DUMMYFUNCTION("""COMPUTED_VALUE"""),45091.0)</f>
        <v>45091</v>
      </c>
      <c r="C143" s="48"/>
    </row>
    <row r="144">
      <c r="A144" s="48" t="str">
        <f>IFERROR(__xludf.DUMMYFUNCTION("""COMPUTED_VALUE"""),"20. Ação de Comunicação / Informação / Capacitação Externa")</f>
        <v>20. Ação de Comunicação / Informação / Capacitação Externa</v>
      </c>
      <c r="B144" s="54">
        <f>IFERROR(__xludf.DUMMYFUNCTION("""COMPUTED_VALUE"""),45092.0)</f>
        <v>45092</v>
      </c>
      <c r="C144" s="48"/>
    </row>
    <row r="145">
      <c r="A145" s="48" t="str">
        <f>IFERROR(__xludf.DUMMYFUNCTION("""COMPUTED_VALUE"""),"24. Projetos ou atividades Específicos")</f>
        <v>24. Projetos ou atividades Específicos</v>
      </c>
      <c r="B145" s="54">
        <f>IFERROR(__xludf.DUMMYFUNCTION("""COMPUTED_VALUE"""),45092.0)</f>
        <v>45092</v>
      </c>
      <c r="C145" s="48"/>
    </row>
    <row r="146">
      <c r="A146" s="48" t="str">
        <f>IFERROR(__xludf.DUMMYFUNCTION("""COMPUTED_VALUE"""),"1. Alocação de água – Reunião de Alocação Participativa")</f>
        <v>1. Alocação de água – Reunião de Alocação Participativa</v>
      </c>
      <c r="B146" s="54">
        <f>IFERROR(__xludf.DUMMYFUNCTION("""COMPUTED_VALUE"""),45092.0)</f>
        <v>45092</v>
      </c>
      <c r="C146" s="48" t="str">
        <f>IFERROR(__xludf.DUMMYFUNCTION("""COMPUTED_VALUE"""),"2")</f>
        <v>2</v>
      </c>
    </row>
    <row r="147">
      <c r="A147" s="48" t="str">
        <f>IFERROR(__xludf.DUMMYFUNCTION("""COMPUTED_VALUE"""),"24. Projetos ou atividades Específicos")</f>
        <v>24. Projetos ou atividades Específicos</v>
      </c>
      <c r="B147" s="54">
        <f>IFERROR(__xludf.DUMMYFUNCTION("""COMPUTED_VALUE"""),45093.0)</f>
        <v>45093</v>
      </c>
      <c r="C147" s="48"/>
    </row>
    <row r="148">
      <c r="A148" s="48" t="str">
        <f>IFERROR(__xludf.DUMMYFUNCTION("""COMPUTED_VALUE"""),"24. Projetos ou atividades Específicos")</f>
        <v>24. Projetos ou atividades Específicos</v>
      </c>
      <c r="B148" s="54">
        <f>IFERROR(__xludf.DUMMYFUNCTION("""COMPUTED_VALUE"""),45093.0)</f>
        <v>45093</v>
      </c>
      <c r="C148" s="48"/>
    </row>
    <row r="149">
      <c r="A149" s="48" t="str">
        <f>IFERROR(__xludf.DUMMYFUNCTION("""COMPUTED_VALUE"""),"12. CBH – Reunião do Fórum Cearense de Comitê")</f>
        <v>12. CBH – Reunião do Fórum Cearense de Comitê</v>
      </c>
      <c r="B149" s="54">
        <f>IFERROR(__xludf.DUMMYFUNCTION("""COMPUTED_VALUE"""),45096.0)</f>
        <v>45096</v>
      </c>
      <c r="C149" s="48" t="str">
        <f>IFERROR(__xludf.DUMMYFUNCTION("""COMPUTED_VALUE"""),"3")</f>
        <v>3</v>
      </c>
    </row>
    <row r="150">
      <c r="A150" s="48" t="str">
        <f>IFERROR(__xludf.DUMMYFUNCTION("""COMPUTED_VALUE"""),"20. Ação de Comunicação / Informação / Capacitação Externa")</f>
        <v>20. Ação de Comunicação / Informação / Capacitação Externa</v>
      </c>
      <c r="B150" s="54">
        <f>IFERROR(__xludf.DUMMYFUNCTION("""COMPUTED_VALUE"""),45097.0)</f>
        <v>45097</v>
      </c>
      <c r="C150" s="48"/>
    </row>
    <row r="151">
      <c r="A151" s="48" t="str">
        <f>IFERROR(__xludf.DUMMYFUNCTION("""COMPUTED_VALUE"""),"24. Projetos ou atividades Específicos")</f>
        <v>24. Projetos ou atividades Específicos</v>
      </c>
      <c r="B151" s="54">
        <f>IFERROR(__xludf.DUMMYFUNCTION("""COMPUTED_VALUE"""),45098.0)</f>
        <v>45098</v>
      </c>
      <c r="C151" s="48"/>
    </row>
    <row r="152">
      <c r="A152" s="48" t="str">
        <f>IFERROR(__xludf.DUMMYFUNCTION("""COMPUTED_VALUE"""),"24. Projetos ou atividades Específicos")</f>
        <v>24. Projetos ou atividades Específicos</v>
      </c>
      <c r="B152" s="54">
        <f>IFERROR(__xludf.DUMMYFUNCTION("""COMPUTED_VALUE"""),45098.0)</f>
        <v>45098</v>
      </c>
      <c r="C152" s="48"/>
    </row>
    <row r="153">
      <c r="A153" s="48" t="str">
        <f>IFERROR(__xludf.DUMMYFUNCTION("""COMPUTED_VALUE"""),"1. Alocação de água – Reunião de Alocação Participativa")</f>
        <v>1. Alocação de água – Reunião de Alocação Participativa</v>
      </c>
      <c r="B153" s="54">
        <f>IFERROR(__xludf.DUMMYFUNCTION("""COMPUTED_VALUE"""),45099.0)</f>
        <v>45099</v>
      </c>
      <c r="C153" s="48" t="str">
        <f>IFERROR(__xludf.DUMMYFUNCTION("""COMPUTED_VALUE"""),"1")</f>
        <v>1</v>
      </c>
    </row>
    <row r="154">
      <c r="A154" s="48" t="str">
        <f>IFERROR(__xludf.DUMMYFUNCTION("""COMPUTED_VALUE"""),"18. Mobilização Social")</f>
        <v>18. Mobilização Social</v>
      </c>
      <c r="B154" s="54">
        <f>IFERROR(__xludf.DUMMYFUNCTION("""COMPUTED_VALUE"""),45099.0)</f>
        <v>45099</v>
      </c>
      <c r="C154" s="48"/>
    </row>
    <row r="155">
      <c r="A155" s="48" t="str">
        <f>IFERROR(__xludf.DUMMYFUNCTION("""COMPUTED_VALUE"""),"24. Projetos ou atividades Específicos")</f>
        <v>24. Projetos ou atividades Específicos</v>
      </c>
      <c r="B155" s="54">
        <f>IFERROR(__xludf.DUMMYFUNCTION("""COMPUTED_VALUE"""),45099.0)</f>
        <v>45099</v>
      </c>
      <c r="C155" s="48"/>
    </row>
    <row r="156">
      <c r="A156" s="48" t="str">
        <f>IFERROR(__xludf.DUMMYFUNCTION("""COMPUTED_VALUE"""),"20. Ação de Comunicação / Informação / Capacitação Externa")</f>
        <v>20. Ação de Comunicação / Informação / Capacitação Externa</v>
      </c>
      <c r="B156" s="54">
        <f>IFERROR(__xludf.DUMMYFUNCTION("""COMPUTED_VALUE"""),45099.0)</f>
        <v>45099</v>
      </c>
      <c r="C156" s="48"/>
    </row>
    <row r="157">
      <c r="A157" s="48" t="str">
        <f>IFERROR(__xludf.DUMMYFUNCTION("""COMPUTED_VALUE"""),"24. Projetos ou atividades Específicos")</f>
        <v>24. Projetos ou atividades Específicos</v>
      </c>
      <c r="B157" s="54">
        <f>IFERROR(__xludf.DUMMYFUNCTION("""COMPUTED_VALUE"""),45103.0)</f>
        <v>45103</v>
      </c>
      <c r="C157" s="48" t="str">
        <f>IFERROR(__xludf.DUMMYFUNCTION("""COMPUTED_VALUE"""),"5")</f>
        <v>5</v>
      </c>
    </row>
    <row r="158">
      <c r="A158" s="48" t="str">
        <f>IFERROR(__xludf.DUMMYFUNCTION("""COMPUTED_VALUE"""),"1. Alocação de água – Reunião de Alocação Participativa")</f>
        <v>1. Alocação de água – Reunião de Alocação Participativa</v>
      </c>
      <c r="B158" s="54">
        <f>IFERROR(__xludf.DUMMYFUNCTION("""COMPUTED_VALUE"""),45104.0)</f>
        <v>45104</v>
      </c>
      <c r="C158" s="48" t="str">
        <f>IFERROR(__xludf.DUMMYFUNCTION("""COMPUTED_VALUE"""),"2")</f>
        <v>2</v>
      </c>
    </row>
    <row r="159">
      <c r="A159" s="48" t="str">
        <f>IFERROR(__xludf.DUMMYFUNCTION("""COMPUTED_VALUE"""),"24. Projetos ou atividades Específicos")</f>
        <v>24. Projetos ou atividades Específicos</v>
      </c>
      <c r="B159" s="54">
        <f>IFERROR(__xludf.DUMMYFUNCTION("""COMPUTED_VALUE"""),45104.0)</f>
        <v>45104</v>
      </c>
      <c r="C159" s="48"/>
    </row>
    <row r="160">
      <c r="A160" s="48" t="str">
        <f>IFERROR(__xludf.DUMMYFUNCTION("""COMPUTED_VALUE"""),"24. Projetos ou atividades Específicos")</f>
        <v>24. Projetos ou atividades Específicos</v>
      </c>
      <c r="B160" s="54">
        <f>IFERROR(__xludf.DUMMYFUNCTION("""COMPUTED_VALUE"""),45105.0)</f>
        <v>45105</v>
      </c>
      <c r="C160" s="48"/>
    </row>
    <row r="161">
      <c r="A161" s="48" t="str">
        <f>IFERROR(__xludf.DUMMYFUNCTION("""COMPUTED_VALUE"""),"1. Alocação de água – Reunião de Alocação Participativa")</f>
        <v>1. Alocação de água – Reunião de Alocação Participativa</v>
      </c>
      <c r="B161" s="54">
        <f>IFERROR(__xludf.DUMMYFUNCTION("""COMPUTED_VALUE"""),45106.0)</f>
        <v>45106</v>
      </c>
      <c r="C161" s="48"/>
    </row>
    <row r="162">
      <c r="A162" s="48" t="str">
        <f>IFERROR(__xludf.DUMMYFUNCTION("""COMPUTED_VALUE"""),"24. Projetos ou atividades Específicos")</f>
        <v>24. Projetos ou atividades Específicos</v>
      </c>
      <c r="B162" s="54">
        <f>IFERROR(__xludf.DUMMYFUNCTION("""COMPUTED_VALUE"""),45106.0)</f>
        <v>45106</v>
      </c>
      <c r="C162" s="48"/>
    </row>
    <row r="163">
      <c r="A163" s="48" t="str">
        <f>IFERROR(__xludf.DUMMYFUNCTION("""COMPUTED_VALUE"""),"18. Mobilização Social")</f>
        <v>18. Mobilização Social</v>
      </c>
      <c r="B163" s="54">
        <f>IFERROR(__xludf.DUMMYFUNCTION("""COMPUTED_VALUE"""),45107.0)</f>
        <v>45107</v>
      </c>
      <c r="C163" s="48"/>
    </row>
    <row r="164">
      <c r="A164" s="48" t="str">
        <f>IFERROR(__xludf.DUMMYFUNCTION("""COMPUTED_VALUE"""),"24. Projetos ou atividades Específicos")</f>
        <v>24. Projetos ou atividades Específicos</v>
      </c>
      <c r="B164" s="54">
        <f>IFERROR(__xludf.DUMMYFUNCTION("""COMPUTED_VALUE"""),45107.0)</f>
        <v>45107</v>
      </c>
      <c r="C164" s="48" t="str">
        <f>IFERROR(__xludf.DUMMYFUNCTION("""COMPUTED_VALUE"""),"4")</f>
        <v>4</v>
      </c>
    </row>
    <row r="165">
      <c r="A165" s="48" t="str">
        <f>IFERROR(__xludf.DUMMYFUNCTION("""COMPUTED_VALUE"""),"20. Ação de Comunicação / Informação / Capacitação Externa")</f>
        <v>20. Ação de Comunicação / Informação / Capacitação Externa</v>
      </c>
      <c r="B165" s="54">
        <f>IFERROR(__xludf.DUMMYFUNCTION("""COMPUTED_VALUE"""),45110.0)</f>
        <v>45110</v>
      </c>
      <c r="C165" s="48" t="str">
        <f>IFERROR(__xludf.DUMMYFUNCTION("""COMPUTED_VALUE"""),"40")</f>
        <v>40</v>
      </c>
    </row>
    <row r="166">
      <c r="A166" s="48" t="str">
        <f>IFERROR(__xludf.DUMMYFUNCTION("""COMPUTED_VALUE"""),"24. Projetos ou atividades Específicos")</f>
        <v>24. Projetos ou atividades Específicos</v>
      </c>
      <c r="B166" s="54">
        <f>IFERROR(__xludf.DUMMYFUNCTION("""COMPUTED_VALUE"""),45110.0)</f>
        <v>45110</v>
      </c>
      <c r="C166" s="48"/>
    </row>
    <row r="167">
      <c r="A167" s="48" t="str">
        <f>IFERROR(__xludf.DUMMYFUNCTION("""COMPUTED_VALUE"""),"24. Projetos ou atividades Específicos")</f>
        <v>24. Projetos ou atividades Específicos</v>
      </c>
      <c r="B167" s="54">
        <f>IFERROR(__xludf.DUMMYFUNCTION("""COMPUTED_VALUE"""),45110.0)</f>
        <v>45110</v>
      </c>
      <c r="C167" s="48"/>
    </row>
    <row r="168">
      <c r="A168" s="48" t="str">
        <f>IFERROR(__xludf.DUMMYFUNCTION("""COMPUTED_VALUE"""),"18. Mobilização Social")</f>
        <v>18. Mobilização Social</v>
      </c>
      <c r="B168" s="54">
        <f>IFERROR(__xludf.DUMMYFUNCTION("""COMPUTED_VALUE"""),45110.0)</f>
        <v>45110</v>
      </c>
      <c r="C168" s="48" t="str">
        <f>IFERROR(__xludf.DUMMYFUNCTION("""COMPUTED_VALUE"""),"9")</f>
        <v>9</v>
      </c>
    </row>
    <row r="169">
      <c r="A169" s="48" t="str">
        <f>IFERROR(__xludf.DUMMYFUNCTION("""COMPUTED_VALUE"""),"20. Ação de Comunicação / Informação / Capacitação Externa")</f>
        <v>20. Ação de Comunicação / Informação / Capacitação Externa</v>
      </c>
      <c r="B169" s="54">
        <f>IFERROR(__xludf.DUMMYFUNCTION("""COMPUTED_VALUE"""),45110.0)</f>
        <v>45110</v>
      </c>
      <c r="C169" s="48"/>
    </row>
    <row r="170">
      <c r="A170" s="48" t="str">
        <f>IFERROR(__xludf.DUMMYFUNCTION("""COMPUTED_VALUE"""),"20. Ação de Comunicação / Informação / Capacitação Externa")</f>
        <v>20. Ação de Comunicação / Informação / Capacitação Externa</v>
      </c>
      <c r="B170" s="54">
        <f>IFERROR(__xludf.DUMMYFUNCTION("""COMPUTED_VALUE"""),45110.0)</f>
        <v>45110</v>
      </c>
      <c r="C170" s="48"/>
    </row>
    <row r="171">
      <c r="A171" s="48" t="str">
        <f>IFERROR(__xludf.DUMMYFUNCTION("""COMPUTED_VALUE"""),"20. Ação de Comunicação / Informação / Capacitação Externa")</f>
        <v>20. Ação de Comunicação / Informação / Capacitação Externa</v>
      </c>
      <c r="B171" s="54">
        <f>IFERROR(__xludf.DUMMYFUNCTION("""COMPUTED_VALUE"""),45110.0)</f>
        <v>45110</v>
      </c>
      <c r="C171" s="48"/>
    </row>
    <row r="172">
      <c r="A172" s="48" t="str">
        <f>IFERROR(__xludf.DUMMYFUNCTION("""COMPUTED_VALUE"""),"1. Alocação de água – Reunião de Alocação Participativa")</f>
        <v>1. Alocação de água – Reunião de Alocação Participativa</v>
      </c>
      <c r="B172" s="54">
        <f>IFERROR(__xludf.DUMMYFUNCTION("""COMPUTED_VALUE"""),45111.0)</f>
        <v>45111</v>
      </c>
      <c r="C172" s="48" t="str">
        <f>IFERROR(__xludf.DUMMYFUNCTION("""COMPUTED_VALUE"""),"2")</f>
        <v>2</v>
      </c>
    </row>
    <row r="173">
      <c r="A173" s="48" t="str">
        <f>IFERROR(__xludf.DUMMYFUNCTION("""COMPUTED_VALUE"""),"20. Ação de Comunicação / Informação / Capacitação Externa")</f>
        <v>20. Ação de Comunicação / Informação / Capacitação Externa</v>
      </c>
      <c r="B173" s="54">
        <f>IFERROR(__xludf.DUMMYFUNCTION("""COMPUTED_VALUE"""),45111.0)</f>
        <v>45111</v>
      </c>
      <c r="C173" s="48"/>
    </row>
    <row r="174">
      <c r="A174" s="48" t="str">
        <f>IFERROR(__xludf.DUMMYFUNCTION("""COMPUTED_VALUE"""),"24. Projetos ou atividades Específicos")</f>
        <v>24. Projetos ou atividades Específicos</v>
      </c>
      <c r="B174" s="54">
        <f>IFERROR(__xludf.DUMMYFUNCTION("""COMPUTED_VALUE"""),45111.0)</f>
        <v>45111</v>
      </c>
      <c r="C174" s="48"/>
    </row>
    <row r="175">
      <c r="A175" s="48" t="str">
        <f>IFERROR(__xludf.DUMMYFUNCTION("""COMPUTED_VALUE"""),"20. Ação de Comunicação / Informação / Capacitação Externa")</f>
        <v>20. Ação de Comunicação / Informação / Capacitação Externa</v>
      </c>
      <c r="B175" s="54">
        <f>IFERROR(__xludf.DUMMYFUNCTION("""COMPUTED_VALUE"""),45112.0)</f>
        <v>45112</v>
      </c>
      <c r="C175" s="48"/>
    </row>
    <row r="176">
      <c r="A176" s="48" t="str">
        <f>IFERROR(__xludf.DUMMYFUNCTION("""COMPUTED_VALUE"""),"1. Alocação de água – Reunião de Alocação Participativa")</f>
        <v>1. Alocação de água – Reunião de Alocação Participativa</v>
      </c>
      <c r="B176" s="54">
        <f>IFERROR(__xludf.DUMMYFUNCTION("""COMPUTED_VALUE"""),45112.0)</f>
        <v>45112</v>
      </c>
      <c r="C176" s="48"/>
    </row>
    <row r="177">
      <c r="A177" s="48" t="str">
        <f>IFERROR(__xludf.DUMMYFUNCTION("""COMPUTED_VALUE"""),"20. Ação de Comunicação / Informação / Capacitação Externa")</f>
        <v>20. Ação de Comunicação / Informação / Capacitação Externa</v>
      </c>
      <c r="B177" s="54">
        <f>IFERROR(__xludf.DUMMYFUNCTION("""COMPUTED_VALUE"""),45112.0)</f>
        <v>45112</v>
      </c>
      <c r="C177" s="48"/>
    </row>
    <row r="178">
      <c r="A178" s="48" t="str">
        <f>IFERROR(__xludf.DUMMYFUNCTION("""COMPUTED_VALUE"""),"24. Projetos ou atividades Específicos")</f>
        <v>24. Projetos ou atividades Específicos</v>
      </c>
      <c r="B178" s="54">
        <f>IFERROR(__xludf.DUMMYFUNCTION("""COMPUTED_VALUE"""),45112.0)</f>
        <v>45112</v>
      </c>
      <c r="C178" s="48"/>
    </row>
    <row r="179">
      <c r="A179" s="48" t="str">
        <f>IFERROR(__xludf.DUMMYFUNCTION("""COMPUTED_VALUE"""),"18. Mobilização Social")</f>
        <v>18. Mobilização Social</v>
      </c>
      <c r="B179" s="54">
        <f>IFERROR(__xludf.DUMMYFUNCTION("""COMPUTED_VALUE"""),45113.0)</f>
        <v>45113</v>
      </c>
      <c r="C179" s="48" t="str">
        <f>IFERROR(__xludf.DUMMYFUNCTION("""COMPUTED_VALUE"""),"2")</f>
        <v>2</v>
      </c>
    </row>
    <row r="180">
      <c r="A180" s="48" t="str">
        <f>IFERROR(__xludf.DUMMYFUNCTION("""COMPUTED_VALUE"""),"24. Projetos ou atividades Específicos")</f>
        <v>24. Projetos ou atividades Específicos</v>
      </c>
      <c r="B180" s="54">
        <f>IFERROR(__xludf.DUMMYFUNCTION("""COMPUTED_VALUE"""),45117.0)</f>
        <v>45117</v>
      </c>
      <c r="C180" s="48"/>
    </row>
    <row r="181">
      <c r="A181" s="48" t="str">
        <f>IFERROR(__xludf.DUMMYFUNCTION("""COMPUTED_VALUE"""),"1. Alocação de água – Reunião de Alocação Participativa")</f>
        <v>1. Alocação de água – Reunião de Alocação Participativa</v>
      </c>
      <c r="B181" s="54">
        <f>IFERROR(__xludf.DUMMYFUNCTION("""COMPUTED_VALUE"""),45118.0)</f>
        <v>45118</v>
      </c>
      <c r="C181" s="48" t="str">
        <f>IFERROR(__xludf.DUMMYFUNCTION("""COMPUTED_VALUE"""),"1")</f>
        <v>1</v>
      </c>
    </row>
    <row r="182">
      <c r="A182" s="48" t="str">
        <f>IFERROR(__xludf.DUMMYFUNCTION("""COMPUTED_VALUE"""),"20. Ação de Comunicação / Informação / Capacitação Externa")</f>
        <v>20. Ação de Comunicação / Informação / Capacitação Externa</v>
      </c>
      <c r="B182" s="54">
        <f>IFERROR(__xludf.DUMMYFUNCTION("""COMPUTED_VALUE"""),45118.0)</f>
        <v>45118</v>
      </c>
      <c r="C182" s="48"/>
    </row>
    <row r="183">
      <c r="A183" s="48" t="str">
        <f>IFERROR(__xludf.DUMMYFUNCTION("""COMPUTED_VALUE"""),"24. Projetos ou atividades Específicos")</f>
        <v>24. Projetos ou atividades Específicos</v>
      </c>
      <c r="B183" s="54">
        <f>IFERROR(__xludf.DUMMYFUNCTION("""COMPUTED_VALUE"""),45118.0)</f>
        <v>45118</v>
      </c>
      <c r="C183" s="48"/>
    </row>
    <row r="184">
      <c r="A184" s="48" t="str">
        <f>IFERROR(__xludf.DUMMYFUNCTION("""COMPUTED_VALUE"""),"1. Alocação de água – Reunião de Alocação Participativa")</f>
        <v>1. Alocação de água – Reunião de Alocação Participativa</v>
      </c>
      <c r="B184" s="54">
        <f>IFERROR(__xludf.DUMMYFUNCTION("""COMPUTED_VALUE"""),45119.0)</f>
        <v>45119</v>
      </c>
      <c r="C184" s="48" t="str">
        <f>IFERROR(__xludf.DUMMYFUNCTION("""COMPUTED_VALUE"""),"3")</f>
        <v>3</v>
      </c>
    </row>
    <row r="185">
      <c r="A185" s="48" t="str">
        <f>IFERROR(__xludf.DUMMYFUNCTION("""COMPUTED_VALUE"""),"20. Ação de Comunicação / Informação / Capacitação Externa")</f>
        <v>20. Ação de Comunicação / Informação / Capacitação Externa</v>
      </c>
      <c r="B185" s="54">
        <f>IFERROR(__xludf.DUMMYFUNCTION("""COMPUTED_VALUE"""),45119.0)</f>
        <v>45119</v>
      </c>
      <c r="C185" s="48"/>
    </row>
    <row r="186">
      <c r="A186" s="48" t="str">
        <f>IFERROR(__xludf.DUMMYFUNCTION("""COMPUTED_VALUE"""),"24. Projetos ou atividades Específicos")</f>
        <v>24. Projetos ou atividades Específicos</v>
      </c>
      <c r="B186" s="54">
        <f>IFERROR(__xludf.DUMMYFUNCTION("""COMPUTED_VALUE"""),45119.0)</f>
        <v>45119</v>
      </c>
      <c r="C186" s="48"/>
    </row>
    <row r="187">
      <c r="A187" s="48" t="str">
        <f>IFERROR(__xludf.DUMMYFUNCTION("""COMPUTED_VALUE"""),"9. CBH – Reunião de Câmara Técnica, Câmara específica ou GT")</f>
        <v>9. CBH – Reunião de Câmara Técnica, Câmara específica ou GT</v>
      </c>
      <c r="B187" s="54">
        <f>IFERROR(__xludf.DUMMYFUNCTION("""COMPUTED_VALUE"""),45120.0)</f>
        <v>45120</v>
      </c>
      <c r="C187" s="48" t="str">
        <f>IFERROR(__xludf.DUMMYFUNCTION("""COMPUTED_VALUE"""),"8")</f>
        <v>8</v>
      </c>
    </row>
    <row r="188">
      <c r="A188" s="48" t="str">
        <f>IFERROR(__xludf.DUMMYFUNCTION("""COMPUTED_VALUE"""),"20. Ação de Comunicação / Informação / Capacitação Externa")</f>
        <v>20. Ação de Comunicação / Informação / Capacitação Externa</v>
      </c>
      <c r="B188" s="54">
        <f>IFERROR(__xludf.DUMMYFUNCTION("""COMPUTED_VALUE"""),45121.0)</f>
        <v>45121</v>
      </c>
      <c r="C188" s="48"/>
    </row>
    <row r="189">
      <c r="A189" s="48" t="str">
        <f>IFERROR(__xludf.DUMMYFUNCTION("""COMPUTED_VALUE"""),"20. Ação de Comunicação / Informação / Capacitação Externa")</f>
        <v>20. Ação de Comunicação / Informação / Capacitação Externa</v>
      </c>
      <c r="B189" s="54">
        <f>IFERROR(__xludf.DUMMYFUNCTION("""COMPUTED_VALUE"""),45121.0)</f>
        <v>45121</v>
      </c>
      <c r="C189" s="48"/>
    </row>
    <row r="190">
      <c r="A190" s="48" t="str">
        <f>IFERROR(__xludf.DUMMYFUNCTION("""COMPUTED_VALUE"""),"24. Projetos ou atividades Específicos")</f>
        <v>24. Projetos ou atividades Específicos</v>
      </c>
      <c r="B190" s="54">
        <f>IFERROR(__xludf.DUMMYFUNCTION("""COMPUTED_VALUE"""),45124.0)</f>
        <v>45124</v>
      </c>
      <c r="C190" s="48" t="str">
        <f>IFERROR(__xludf.DUMMYFUNCTION("""COMPUTED_VALUE"""),"10")</f>
        <v>10</v>
      </c>
    </row>
    <row r="191">
      <c r="A191" s="48" t="str">
        <f>IFERROR(__xludf.DUMMYFUNCTION("""COMPUTED_VALUE"""),"20. Ação de Comunicação / Informação / Capacitação Externa")</f>
        <v>20. Ação de Comunicação / Informação / Capacitação Externa</v>
      </c>
      <c r="B191" s="54">
        <f>IFERROR(__xludf.DUMMYFUNCTION("""COMPUTED_VALUE"""),45124.0)</f>
        <v>45124</v>
      </c>
      <c r="C191" s="48"/>
    </row>
    <row r="192">
      <c r="A192" s="48" t="str">
        <f>IFERROR(__xludf.DUMMYFUNCTION("""COMPUTED_VALUE"""),"24. Projetos ou atividades Específicos")</f>
        <v>24. Projetos ou atividades Específicos</v>
      </c>
      <c r="B192" s="54">
        <f>IFERROR(__xludf.DUMMYFUNCTION("""COMPUTED_VALUE"""),45124.0)</f>
        <v>45124</v>
      </c>
      <c r="C192" s="48"/>
    </row>
    <row r="193">
      <c r="A193" s="48" t="str">
        <f>IFERROR(__xludf.DUMMYFUNCTION("""COMPUTED_VALUE"""),"20. Ação de Comunicação / Informação / Capacitação Externa")</f>
        <v>20. Ação de Comunicação / Informação / Capacitação Externa</v>
      </c>
      <c r="B193" s="54">
        <f>IFERROR(__xludf.DUMMYFUNCTION("""COMPUTED_VALUE"""),45125.0)</f>
        <v>45125</v>
      </c>
      <c r="C193" s="48"/>
    </row>
    <row r="194">
      <c r="A194" s="48" t="str">
        <f>IFERROR(__xludf.DUMMYFUNCTION("""COMPUTED_VALUE"""),"7. CBH – Reunião Extraordinária do Comitê")</f>
        <v>7. CBH – Reunião Extraordinária do Comitê</v>
      </c>
      <c r="B194" s="54">
        <f>IFERROR(__xludf.DUMMYFUNCTION("""COMPUTED_VALUE"""),45126.0)</f>
        <v>45126</v>
      </c>
      <c r="C194" s="48" t="str">
        <f>IFERROR(__xludf.DUMMYFUNCTION("""COMPUTED_VALUE"""),"28")</f>
        <v>28</v>
      </c>
    </row>
    <row r="195">
      <c r="A195" s="48" t="str">
        <f>IFERROR(__xludf.DUMMYFUNCTION("""COMPUTED_VALUE"""),"24. Projetos ou atividades Específicos")</f>
        <v>24. Projetos ou atividades Específicos</v>
      </c>
      <c r="B195" s="54">
        <f>IFERROR(__xludf.DUMMYFUNCTION("""COMPUTED_VALUE"""),45126.0)</f>
        <v>45126</v>
      </c>
      <c r="C195" s="48"/>
    </row>
    <row r="196">
      <c r="A196" s="48" t="str">
        <f>IFERROR(__xludf.DUMMYFUNCTION("""COMPUTED_VALUE"""),"24. Projetos ou atividades Específicos")</f>
        <v>24. Projetos ou atividades Específicos</v>
      </c>
      <c r="B196" s="54">
        <f>IFERROR(__xludf.DUMMYFUNCTION("""COMPUTED_VALUE"""),45127.0)</f>
        <v>45127</v>
      </c>
      <c r="C196" s="48"/>
    </row>
    <row r="197">
      <c r="A197" s="48" t="str">
        <f>IFERROR(__xludf.DUMMYFUNCTION("""COMPUTED_VALUE"""),"24. Projetos ou atividades Específicos")</f>
        <v>24. Projetos ou atividades Específicos</v>
      </c>
      <c r="B197" s="54">
        <f>IFERROR(__xludf.DUMMYFUNCTION("""COMPUTED_VALUE"""),45131.0)</f>
        <v>45131</v>
      </c>
      <c r="C197" s="48"/>
    </row>
    <row r="198">
      <c r="A198" s="48" t="str">
        <f>IFERROR(__xludf.DUMMYFUNCTION("""COMPUTED_VALUE"""),"20. Ação de Comunicação / Informação / Capacitação Externa")</f>
        <v>20. Ação de Comunicação / Informação / Capacitação Externa</v>
      </c>
      <c r="B198" s="54">
        <f>IFERROR(__xludf.DUMMYFUNCTION("""COMPUTED_VALUE"""),45131.0)</f>
        <v>45131</v>
      </c>
      <c r="C198" s="48"/>
    </row>
    <row r="199">
      <c r="A199" s="48" t="str">
        <f>IFERROR(__xludf.DUMMYFUNCTION("""COMPUTED_VALUE"""),"24. Projetos ou atividades Específicos")</f>
        <v>24. Projetos ou atividades Específicos</v>
      </c>
      <c r="B199" s="54">
        <f>IFERROR(__xludf.DUMMYFUNCTION("""COMPUTED_VALUE"""),45133.0)</f>
        <v>45133</v>
      </c>
      <c r="C199" s="48"/>
    </row>
    <row r="200">
      <c r="A200" s="48" t="str">
        <f>IFERROR(__xludf.DUMMYFUNCTION("""COMPUTED_VALUE"""),"20. Ação de Comunicação / Informação / Capacitação Externa")</f>
        <v>20. Ação de Comunicação / Informação / Capacitação Externa</v>
      </c>
      <c r="B200" s="54">
        <f>IFERROR(__xludf.DUMMYFUNCTION("""COMPUTED_VALUE"""),45134.0)</f>
        <v>45134</v>
      </c>
      <c r="C200" s="48"/>
    </row>
    <row r="201">
      <c r="A201" s="48" t="str">
        <f>IFERROR(__xludf.DUMMYFUNCTION("""COMPUTED_VALUE"""),"20. Ação de Comunicação / Informação / Capacitação Externa")</f>
        <v>20. Ação de Comunicação / Informação / Capacitação Externa</v>
      </c>
      <c r="B201" s="54">
        <f>IFERROR(__xludf.DUMMYFUNCTION("""COMPUTED_VALUE"""),45135.0)</f>
        <v>45135</v>
      </c>
      <c r="C201" s="48"/>
    </row>
    <row r="202">
      <c r="A202" s="48" t="str">
        <f>IFERROR(__xludf.DUMMYFUNCTION("""COMPUTED_VALUE"""),"20. Ação de Comunicação / Informação / Capacitação Externa")</f>
        <v>20. Ação de Comunicação / Informação / Capacitação Externa</v>
      </c>
      <c r="B202" s="54">
        <f>IFERROR(__xludf.DUMMYFUNCTION("""COMPUTED_VALUE"""),45138.0)</f>
        <v>45138</v>
      </c>
      <c r="C202" s="48"/>
    </row>
    <row r="203">
      <c r="A203" s="48" t="str">
        <f>IFERROR(__xludf.DUMMYFUNCTION("""COMPUTED_VALUE"""),"20. Ação de Comunicação / Informação / Capacitação Externa")</f>
        <v>20. Ação de Comunicação / Informação / Capacitação Externa</v>
      </c>
      <c r="B203" s="54">
        <f>IFERROR(__xludf.DUMMYFUNCTION("""COMPUTED_VALUE"""),45139.0)</f>
        <v>45139</v>
      </c>
      <c r="C203" s="48"/>
    </row>
    <row r="204">
      <c r="A204" s="48" t="str">
        <f>IFERROR(__xludf.DUMMYFUNCTION("""COMPUTED_VALUE"""),"24. Projetos ou atividades Específicos")</f>
        <v>24. Projetos ou atividades Específicos</v>
      </c>
      <c r="B204" s="54">
        <f>IFERROR(__xludf.DUMMYFUNCTION("""COMPUTED_VALUE"""),45139.0)</f>
        <v>45139</v>
      </c>
      <c r="C204" s="48"/>
    </row>
    <row r="205">
      <c r="A205" s="48" t="str">
        <f>IFERROR(__xludf.DUMMYFUNCTION("""COMPUTED_VALUE"""),"20. Ação de Comunicação / Informação / Capacitação Externa")</f>
        <v>20. Ação de Comunicação / Informação / Capacitação Externa</v>
      </c>
      <c r="B205" s="54">
        <f>IFERROR(__xludf.DUMMYFUNCTION("""COMPUTED_VALUE"""),45139.0)</f>
        <v>45139</v>
      </c>
      <c r="C205" s="48"/>
    </row>
    <row r="206">
      <c r="A206" s="48" t="str">
        <f>IFERROR(__xludf.DUMMYFUNCTION("""COMPUTED_VALUE"""),"24. Projetos ou atividades Específicos")</f>
        <v>24. Projetos ou atividades Específicos</v>
      </c>
      <c r="B206" s="54">
        <f>IFERROR(__xludf.DUMMYFUNCTION("""COMPUTED_VALUE"""),45139.0)</f>
        <v>45139</v>
      </c>
      <c r="C206" s="48"/>
    </row>
    <row r="207">
      <c r="A207" s="48" t="str">
        <f>IFERROR(__xludf.DUMMYFUNCTION("""COMPUTED_VALUE"""),"18. Mobilização Social")</f>
        <v>18. Mobilização Social</v>
      </c>
      <c r="B207" s="54">
        <f>IFERROR(__xludf.DUMMYFUNCTION("""COMPUTED_VALUE"""),45140.0)</f>
        <v>45140</v>
      </c>
      <c r="C207" s="48"/>
    </row>
    <row r="208">
      <c r="A208" s="48" t="str">
        <f>IFERROR(__xludf.DUMMYFUNCTION("""COMPUTED_VALUE"""),"24. Projetos ou atividades Específicos")</f>
        <v>24. Projetos ou atividades Específicos</v>
      </c>
      <c r="B208" s="54">
        <f>IFERROR(__xludf.DUMMYFUNCTION("""COMPUTED_VALUE"""),45140.0)</f>
        <v>45140</v>
      </c>
      <c r="C208" s="48" t="str">
        <f>IFERROR(__xludf.DUMMYFUNCTION("""COMPUTED_VALUE"""),"3")</f>
        <v>3</v>
      </c>
    </row>
    <row r="209">
      <c r="A209" s="48" t="str">
        <f>IFERROR(__xludf.DUMMYFUNCTION("""COMPUTED_VALUE"""),"20. Ação de Comunicação / Informação / Capacitação Externa")</f>
        <v>20. Ação de Comunicação / Informação / Capacitação Externa</v>
      </c>
      <c r="B209" s="54">
        <f>IFERROR(__xludf.DUMMYFUNCTION("""COMPUTED_VALUE"""),45140.0)</f>
        <v>45140</v>
      </c>
      <c r="C209" s="48"/>
    </row>
    <row r="210">
      <c r="A210" s="48" t="str">
        <f>IFERROR(__xludf.DUMMYFUNCTION("""COMPUTED_VALUE"""),"18. Mobilização Social")</f>
        <v>18. Mobilização Social</v>
      </c>
      <c r="B210" s="54">
        <f>IFERROR(__xludf.DUMMYFUNCTION("""COMPUTED_VALUE"""),45141.0)</f>
        <v>45141</v>
      </c>
      <c r="C210" s="48"/>
    </row>
    <row r="211">
      <c r="A211" s="48" t="str">
        <f>IFERROR(__xludf.DUMMYFUNCTION("""COMPUTED_VALUE"""),"24. Projetos ou atividades Específicos")</f>
        <v>24. Projetos ou atividades Específicos</v>
      </c>
      <c r="B211" s="54">
        <f>IFERROR(__xludf.DUMMYFUNCTION("""COMPUTED_VALUE"""),45141.0)</f>
        <v>45141</v>
      </c>
      <c r="C211" s="48"/>
    </row>
    <row r="212">
      <c r="A212" s="48" t="str">
        <f>IFERROR(__xludf.DUMMYFUNCTION("""COMPUTED_VALUE"""),"24. Projetos ou atividades Específicos")</f>
        <v>24. Projetos ou atividades Específicos</v>
      </c>
      <c r="B212" s="54">
        <f>IFERROR(__xludf.DUMMYFUNCTION("""COMPUTED_VALUE"""),45141.0)</f>
        <v>45141</v>
      </c>
      <c r="C212" s="48"/>
    </row>
    <row r="213">
      <c r="A213" s="48" t="str">
        <f>IFERROR(__xludf.DUMMYFUNCTION("""COMPUTED_VALUE"""),"20. Ação de Comunicação / Informação / Capacitação Externa")</f>
        <v>20. Ação de Comunicação / Informação / Capacitação Externa</v>
      </c>
      <c r="B213" s="54">
        <f>IFERROR(__xludf.DUMMYFUNCTION("""COMPUTED_VALUE"""),45141.0)</f>
        <v>45141</v>
      </c>
      <c r="C213" s="48"/>
    </row>
    <row r="214">
      <c r="A214" s="48" t="str">
        <f>IFERROR(__xludf.DUMMYFUNCTION("""COMPUTED_VALUE"""),"20. Ação de Comunicação / Informação / Capacitação Externa")</f>
        <v>20. Ação de Comunicação / Informação / Capacitação Externa</v>
      </c>
      <c r="B214" s="54">
        <f>IFERROR(__xludf.DUMMYFUNCTION("""COMPUTED_VALUE"""),45141.0)</f>
        <v>45141</v>
      </c>
      <c r="C214" s="48"/>
    </row>
    <row r="215">
      <c r="A215" s="48" t="str">
        <f>IFERROR(__xludf.DUMMYFUNCTION("""COMPUTED_VALUE"""),"20. Ação de Comunicação / Informação / Capacitação Externa")</f>
        <v>20. Ação de Comunicação / Informação / Capacitação Externa</v>
      </c>
      <c r="B215" s="54">
        <f>IFERROR(__xludf.DUMMYFUNCTION("""COMPUTED_VALUE"""),45141.0)</f>
        <v>45141</v>
      </c>
      <c r="C215" s="48"/>
    </row>
    <row r="216">
      <c r="A216" s="48" t="str">
        <f>IFERROR(__xludf.DUMMYFUNCTION("""COMPUTED_VALUE"""),"24. Projetos ou atividades Específicos")</f>
        <v>24. Projetos ou atividades Específicos</v>
      </c>
      <c r="B216" s="54">
        <f>IFERROR(__xludf.DUMMYFUNCTION("""COMPUTED_VALUE"""),45141.0)</f>
        <v>45141</v>
      </c>
      <c r="C216" s="48"/>
    </row>
    <row r="217">
      <c r="A217" s="48" t="str">
        <f>IFERROR(__xludf.DUMMYFUNCTION("""COMPUTED_VALUE"""),"24. Projetos ou atividades Específicos")</f>
        <v>24. Projetos ou atividades Específicos</v>
      </c>
      <c r="B217" s="54">
        <f>IFERROR(__xludf.DUMMYFUNCTION("""COMPUTED_VALUE"""),44989.0)</f>
        <v>44989</v>
      </c>
      <c r="C217" s="48" t="str">
        <f>IFERROR(__xludf.DUMMYFUNCTION("""COMPUTED_VALUE"""),"1")</f>
        <v>1</v>
      </c>
    </row>
    <row r="218">
      <c r="A218" s="48" t="str">
        <f>IFERROR(__xludf.DUMMYFUNCTION("""COMPUTED_VALUE"""),"24. Projetos ou atividades Específicos")</f>
        <v>24. Projetos ou atividades Específicos</v>
      </c>
      <c r="B218" s="54">
        <f>IFERROR(__xludf.DUMMYFUNCTION("""COMPUTED_VALUE"""),45143.0)</f>
        <v>45143</v>
      </c>
      <c r="C218" s="48"/>
    </row>
    <row r="219">
      <c r="A219" s="48" t="str">
        <f>IFERROR(__xludf.DUMMYFUNCTION("""COMPUTED_VALUE"""),"20. Ação de Comunicação / Informação / Capacitação Externa")</f>
        <v>20. Ação de Comunicação / Informação / Capacitação Externa</v>
      </c>
      <c r="B219" s="54">
        <f>IFERROR(__xludf.DUMMYFUNCTION("""COMPUTED_VALUE"""),45145.0)</f>
        <v>45145</v>
      </c>
      <c r="C219" s="48"/>
    </row>
    <row r="220">
      <c r="A220" s="48" t="str">
        <f>IFERROR(__xludf.DUMMYFUNCTION("""COMPUTED_VALUE"""),"24. Projetos ou atividades Específicos")</f>
        <v>24. Projetos ou atividades Específicos</v>
      </c>
      <c r="B220" s="54">
        <f>IFERROR(__xludf.DUMMYFUNCTION("""COMPUTED_VALUE"""),45145.0)</f>
        <v>45145</v>
      </c>
      <c r="C220" s="48"/>
    </row>
    <row r="221">
      <c r="A221" s="48" t="str">
        <f>IFERROR(__xludf.DUMMYFUNCTION("""COMPUTED_VALUE"""),"20. Ação de Comunicação / Informação / Capacitação Externa")</f>
        <v>20. Ação de Comunicação / Informação / Capacitação Externa</v>
      </c>
      <c r="B221" s="54">
        <f>IFERROR(__xludf.DUMMYFUNCTION("""COMPUTED_VALUE"""),45145.0)</f>
        <v>45145</v>
      </c>
      <c r="C221" s="48"/>
    </row>
    <row r="222">
      <c r="A222" s="48" t="str">
        <f>IFERROR(__xludf.DUMMYFUNCTION("""COMPUTED_VALUE"""),"24. Projetos ou atividades Específicos")</f>
        <v>24. Projetos ou atividades Específicos</v>
      </c>
      <c r="B222" s="54">
        <f>IFERROR(__xludf.DUMMYFUNCTION("""COMPUTED_VALUE"""),45145.0)</f>
        <v>45145</v>
      </c>
      <c r="C222" s="48"/>
    </row>
    <row r="223">
      <c r="A223" s="48" t="str">
        <f>IFERROR(__xludf.DUMMYFUNCTION("""COMPUTED_VALUE"""),"24. Projetos ou atividades Específicos")</f>
        <v>24. Projetos ou atividades Específicos</v>
      </c>
      <c r="B223" s="54">
        <f>IFERROR(__xludf.DUMMYFUNCTION("""COMPUTED_VALUE"""),45146.0)</f>
        <v>45146</v>
      </c>
      <c r="C223" s="48"/>
    </row>
    <row r="224">
      <c r="A224" s="48" t="str">
        <f>IFERROR(__xludf.DUMMYFUNCTION("""COMPUTED_VALUE"""),"20. Ação de Comunicação / Informação / Capacitação Externa")</f>
        <v>20. Ação de Comunicação / Informação / Capacitação Externa</v>
      </c>
      <c r="B224" s="54">
        <f>IFERROR(__xludf.DUMMYFUNCTION("""COMPUTED_VALUE"""),45146.0)</f>
        <v>45146</v>
      </c>
      <c r="C224" s="48"/>
    </row>
    <row r="225">
      <c r="A225" s="48" t="str">
        <f>IFERROR(__xludf.DUMMYFUNCTION("""COMPUTED_VALUE"""),"20. Ação de Comunicação / Informação / Capacitação Externa")</f>
        <v>20. Ação de Comunicação / Informação / Capacitação Externa</v>
      </c>
      <c r="B225" s="54">
        <f>IFERROR(__xludf.DUMMYFUNCTION("""COMPUTED_VALUE"""),45146.0)</f>
        <v>45146</v>
      </c>
      <c r="C225" s="48"/>
    </row>
    <row r="226">
      <c r="A226" s="48" t="str">
        <f>IFERROR(__xludf.DUMMYFUNCTION("""COMPUTED_VALUE"""),"8. CBH – Reunião de Diretoria do CBH")</f>
        <v>8. CBH – Reunião de Diretoria do CBH</v>
      </c>
      <c r="B226" s="54">
        <f>IFERROR(__xludf.DUMMYFUNCTION("""COMPUTED_VALUE"""),45147.0)</f>
        <v>45147</v>
      </c>
      <c r="C226" s="48" t="str">
        <f>IFERROR(__xludf.DUMMYFUNCTION("""COMPUTED_VALUE"""),"4")</f>
        <v>4</v>
      </c>
    </row>
    <row r="227">
      <c r="A227" s="48" t="str">
        <f>IFERROR(__xludf.DUMMYFUNCTION("""COMPUTED_VALUE"""),"20. Ação de Comunicação / Informação / Capacitação Externa")</f>
        <v>20. Ação de Comunicação / Informação / Capacitação Externa</v>
      </c>
      <c r="B227" s="54">
        <f>IFERROR(__xludf.DUMMYFUNCTION("""COMPUTED_VALUE"""),45147.0)</f>
        <v>45147</v>
      </c>
      <c r="C227" s="48"/>
    </row>
    <row r="228">
      <c r="A228" s="48" t="str">
        <f>IFERROR(__xludf.DUMMYFUNCTION("""COMPUTED_VALUE"""),"24. Projetos ou atividades Específicos")</f>
        <v>24. Projetos ou atividades Específicos</v>
      </c>
      <c r="B228" s="54">
        <f>IFERROR(__xludf.DUMMYFUNCTION("""COMPUTED_VALUE"""),45147.0)</f>
        <v>45147</v>
      </c>
      <c r="C228" s="48" t="str">
        <f>IFERROR(__xludf.DUMMYFUNCTION("""COMPUTED_VALUE"""),"1")</f>
        <v>1</v>
      </c>
    </row>
    <row r="229">
      <c r="A229" s="48" t="str">
        <f>IFERROR(__xludf.DUMMYFUNCTION("""COMPUTED_VALUE"""),"24. Projetos ou atividades Específicos")</f>
        <v>24. Projetos ou atividades Específicos</v>
      </c>
      <c r="B229" s="54">
        <f>IFERROR(__xludf.DUMMYFUNCTION("""COMPUTED_VALUE"""),45147.0)</f>
        <v>45147</v>
      </c>
      <c r="C229" s="48"/>
    </row>
    <row r="230">
      <c r="A230" s="48" t="str">
        <f>IFERROR(__xludf.DUMMYFUNCTION("""COMPUTED_VALUE"""),"20. Ação de Comunicação / Informação / Capacitação Externa")</f>
        <v>20. Ação de Comunicação / Informação / Capacitação Externa</v>
      </c>
      <c r="B230" s="54">
        <f>IFERROR(__xludf.DUMMYFUNCTION("""COMPUTED_VALUE"""),45147.0)</f>
        <v>45147</v>
      </c>
      <c r="C230" s="48"/>
    </row>
    <row r="231">
      <c r="A231" s="48" t="str">
        <f>IFERROR(__xludf.DUMMYFUNCTION("""COMPUTED_VALUE"""),"9. CBH – Reunião de Câmara Técnica, Câmara específica ou GT")</f>
        <v>9. CBH – Reunião de Câmara Técnica, Câmara específica ou GT</v>
      </c>
      <c r="B231" s="54">
        <f>IFERROR(__xludf.DUMMYFUNCTION("""COMPUTED_VALUE"""),45148.0)</f>
        <v>45148</v>
      </c>
      <c r="C231" s="48" t="str">
        <f>IFERROR(__xludf.DUMMYFUNCTION("""COMPUTED_VALUE"""),"9")</f>
        <v>9</v>
      </c>
    </row>
    <row r="232">
      <c r="A232" s="48" t="str">
        <f>IFERROR(__xludf.DUMMYFUNCTION("""COMPUTED_VALUE"""),"24. Projetos ou atividades Específicos")</f>
        <v>24. Projetos ou atividades Específicos</v>
      </c>
      <c r="B232" s="54">
        <f>IFERROR(__xludf.DUMMYFUNCTION("""COMPUTED_VALUE"""),45148.0)</f>
        <v>45148</v>
      </c>
      <c r="C232" s="48"/>
    </row>
    <row r="233">
      <c r="A233" s="48" t="str">
        <f>IFERROR(__xludf.DUMMYFUNCTION("""COMPUTED_VALUE"""),"24. Projetos ou atividades Específicos")</f>
        <v>24. Projetos ou atividades Específicos</v>
      </c>
      <c r="B233" s="54">
        <f>IFERROR(__xludf.DUMMYFUNCTION("""COMPUTED_VALUE"""),45148.0)</f>
        <v>45148</v>
      </c>
      <c r="C233" s="48"/>
    </row>
    <row r="234">
      <c r="A234" s="48" t="str">
        <f>IFERROR(__xludf.DUMMYFUNCTION("""COMPUTED_VALUE"""),"24. Projetos ou atividades Específicos")</f>
        <v>24. Projetos ou atividades Específicos</v>
      </c>
      <c r="B234" s="54">
        <f>IFERROR(__xludf.DUMMYFUNCTION("""COMPUTED_VALUE"""),45148.0)</f>
        <v>45148</v>
      </c>
      <c r="C234" s="48" t="str">
        <f>IFERROR(__xludf.DUMMYFUNCTION("""COMPUTED_VALUE"""),"1")</f>
        <v>1</v>
      </c>
    </row>
    <row r="235">
      <c r="A235" s="48" t="str">
        <f>IFERROR(__xludf.DUMMYFUNCTION("""COMPUTED_VALUE"""),"20. Ação de Comunicação / Informação / Capacitação Externa")</f>
        <v>20. Ação de Comunicação / Informação / Capacitação Externa</v>
      </c>
      <c r="B235" s="54">
        <f>IFERROR(__xludf.DUMMYFUNCTION("""COMPUTED_VALUE"""),45148.0)</f>
        <v>45148</v>
      </c>
      <c r="C235" s="48"/>
    </row>
    <row r="236">
      <c r="A236" s="48" t="str">
        <f>IFERROR(__xludf.DUMMYFUNCTION("""COMPUTED_VALUE"""),"20. Ação de Comunicação / Informação / Capacitação Externa")</f>
        <v>20. Ação de Comunicação / Informação / Capacitação Externa</v>
      </c>
      <c r="B236" s="54">
        <f>IFERROR(__xludf.DUMMYFUNCTION("""COMPUTED_VALUE"""),45148.0)</f>
        <v>45148</v>
      </c>
      <c r="C236" s="48"/>
    </row>
    <row r="237">
      <c r="A237" s="48" t="str">
        <f>IFERROR(__xludf.DUMMYFUNCTION("""COMPUTED_VALUE"""),"24. Projetos ou atividades Específicos")</f>
        <v>24. Projetos ou atividades Específicos</v>
      </c>
      <c r="B237" s="54">
        <f>IFERROR(__xludf.DUMMYFUNCTION("""COMPUTED_VALUE"""),45152.0)</f>
        <v>45152</v>
      </c>
      <c r="C237" s="48"/>
    </row>
    <row r="238">
      <c r="A238" s="48" t="str">
        <f>IFERROR(__xludf.DUMMYFUNCTION("""COMPUTED_VALUE"""),"20. Ação de Comunicação / Informação / Capacitação Externa")</f>
        <v>20. Ação de Comunicação / Informação / Capacitação Externa</v>
      </c>
      <c r="B238" s="54">
        <f>IFERROR(__xludf.DUMMYFUNCTION("""COMPUTED_VALUE"""),45152.0)</f>
        <v>45152</v>
      </c>
      <c r="C238" s="48"/>
    </row>
    <row r="239">
      <c r="A239" s="48" t="str">
        <f>IFERROR(__xludf.DUMMYFUNCTION("""COMPUTED_VALUE"""),"18. Mobilização Social")</f>
        <v>18. Mobilização Social</v>
      </c>
      <c r="B239" s="54">
        <f>IFERROR(__xludf.DUMMYFUNCTION("""COMPUTED_VALUE"""),45153.0)</f>
        <v>45153</v>
      </c>
      <c r="C239" s="48" t="str">
        <f>IFERROR(__xludf.DUMMYFUNCTION("""COMPUTED_VALUE"""),"6")</f>
        <v>6</v>
      </c>
    </row>
    <row r="240">
      <c r="A240" s="48" t="str">
        <f>IFERROR(__xludf.DUMMYFUNCTION("""COMPUTED_VALUE"""),"18. Mobilização Social")</f>
        <v>18. Mobilização Social</v>
      </c>
      <c r="B240" s="54">
        <f>IFERROR(__xludf.DUMMYFUNCTION("""COMPUTED_VALUE"""),45154.0)</f>
        <v>45154</v>
      </c>
      <c r="C240" s="48" t="str">
        <f>IFERROR(__xludf.DUMMYFUNCTION("""COMPUTED_VALUE"""),"6")</f>
        <v>6</v>
      </c>
    </row>
    <row r="241">
      <c r="A241" s="48" t="str">
        <f>IFERROR(__xludf.DUMMYFUNCTION("""COMPUTED_VALUE"""),"20. Ação de Comunicação / Informação / Capacitação Externa")</f>
        <v>20. Ação de Comunicação / Informação / Capacitação Externa</v>
      </c>
      <c r="B241" s="54">
        <f>IFERROR(__xludf.DUMMYFUNCTION("""COMPUTED_VALUE"""),45154.0)</f>
        <v>45154</v>
      </c>
      <c r="C241" s="48"/>
    </row>
    <row r="242">
      <c r="A242" s="48" t="str">
        <f>IFERROR(__xludf.DUMMYFUNCTION("""COMPUTED_VALUE"""),"20. Ação de Comunicação / Informação / Capacitação Externa")</f>
        <v>20. Ação de Comunicação / Informação / Capacitação Externa</v>
      </c>
      <c r="B242" s="54">
        <f>IFERROR(__xludf.DUMMYFUNCTION("""COMPUTED_VALUE"""),45154.0)</f>
        <v>45154</v>
      </c>
      <c r="C242" s="48"/>
    </row>
    <row r="243">
      <c r="A243" s="48" t="str">
        <f>IFERROR(__xludf.DUMMYFUNCTION("""COMPUTED_VALUE"""),"18. Mobilização Social")</f>
        <v>18. Mobilização Social</v>
      </c>
      <c r="B243" s="54">
        <f>IFERROR(__xludf.DUMMYFUNCTION("""COMPUTED_VALUE"""),45155.0)</f>
        <v>45155</v>
      </c>
      <c r="C243" s="48" t="str">
        <f>IFERROR(__xludf.DUMMYFUNCTION("""COMPUTED_VALUE"""),"8")</f>
        <v>8</v>
      </c>
    </row>
    <row r="244">
      <c r="A244" s="48" t="str">
        <f>IFERROR(__xludf.DUMMYFUNCTION("""COMPUTED_VALUE"""),"20. Ação de Comunicação / Informação / Capacitação Externa")</f>
        <v>20. Ação de Comunicação / Informação / Capacitação Externa</v>
      </c>
      <c r="B244" s="54">
        <f>IFERROR(__xludf.DUMMYFUNCTION("""COMPUTED_VALUE"""),45155.0)</f>
        <v>45155</v>
      </c>
      <c r="C244" s="48"/>
    </row>
    <row r="245">
      <c r="A245" s="48" t="str">
        <f>IFERROR(__xludf.DUMMYFUNCTION("""COMPUTED_VALUE"""),"24. Projetos ou atividades Específicos")</f>
        <v>24. Projetos ou atividades Específicos</v>
      </c>
      <c r="B245" s="54">
        <f>IFERROR(__xludf.DUMMYFUNCTION("""COMPUTED_VALUE"""),45155.0)</f>
        <v>45155</v>
      </c>
      <c r="C245" s="48"/>
    </row>
    <row r="246">
      <c r="A246" s="48" t="str">
        <f>IFERROR(__xludf.DUMMYFUNCTION("""COMPUTED_VALUE"""),"24. Projetos ou atividades Específicos")</f>
        <v>24. Projetos ou atividades Específicos</v>
      </c>
      <c r="B246" s="54">
        <f>IFERROR(__xludf.DUMMYFUNCTION("""COMPUTED_VALUE"""),45159.0)</f>
        <v>45159</v>
      </c>
      <c r="C246" s="48"/>
    </row>
    <row r="247">
      <c r="A247" s="48" t="str">
        <f>IFERROR(__xludf.DUMMYFUNCTION("""COMPUTED_VALUE"""),"24. Projetos ou atividades Específicos")</f>
        <v>24. Projetos ou atividades Específicos</v>
      </c>
      <c r="B247" s="54">
        <f>IFERROR(__xludf.DUMMYFUNCTION("""COMPUTED_VALUE"""),45159.0)</f>
        <v>45159</v>
      </c>
      <c r="C247" s="48" t="str">
        <f>IFERROR(__xludf.DUMMYFUNCTION("""COMPUTED_VALUE"""),"5")</f>
        <v>5</v>
      </c>
    </row>
    <row r="248">
      <c r="A248" s="48" t="str">
        <f>IFERROR(__xludf.DUMMYFUNCTION("""COMPUTED_VALUE"""),"20. Ação de Comunicação / Informação / Capacitação Externa")</f>
        <v>20. Ação de Comunicação / Informação / Capacitação Externa</v>
      </c>
      <c r="B248" s="54">
        <f>IFERROR(__xludf.DUMMYFUNCTION("""COMPUTED_VALUE"""),45159.0)</f>
        <v>45159</v>
      </c>
      <c r="C248" s="48"/>
    </row>
    <row r="249">
      <c r="A249" s="48" t="str">
        <f>IFERROR(__xludf.DUMMYFUNCTION("""COMPUTED_VALUE"""),"18. Mobilização Social")</f>
        <v>18. Mobilização Social</v>
      </c>
      <c r="B249" s="54">
        <f>IFERROR(__xludf.DUMMYFUNCTION("""COMPUTED_VALUE"""),45160.0)</f>
        <v>45160</v>
      </c>
      <c r="C249" s="48" t="str">
        <f>IFERROR(__xludf.DUMMYFUNCTION("""COMPUTED_VALUE"""),"8")</f>
        <v>8</v>
      </c>
    </row>
    <row r="250">
      <c r="A250" s="48" t="str">
        <f>IFERROR(__xludf.DUMMYFUNCTION("""COMPUTED_VALUE"""),"18. Mobilização Social")</f>
        <v>18. Mobilização Social</v>
      </c>
      <c r="B250" s="54">
        <f>IFERROR(__xludf.DUMMYFUNCTION("""COMPUTED_VALUE"""),45160.0)</f>
        <v>45160</v>
      </c>
      <c r="C250" s="48" t="str">
        <f>IFERROR(__xludf.DUMMYFUNCTION("""COMPUTED_VALUE"""),"15")</f>
        <v>15</v>
      </c>
    </row>
    <row r="251">
      <c r="A251" s="48" t="str">
        <f>IFERROR(__xludf.DUMMYFUNCTION("""COMPUTED_VALUE"""),"20. Ação de Comunicação / Informação / Capacitação Externa")</f>
        <v>20. Ação de Comunicação / Informação / Capacitação Externa</v>
      </c>
      <c r="B251" s="54">
        <f>IFERROR(__xludf.DUMMYFUNCTION("""COMPUTED_VALUE"""),45162.0)</f>
        <v>45162</v>
      </c>
      <c r="C251" s="48"/>
    </row>
    <row r="252">
      <c r="A252" s="48" t="str">
        <f>IFERROR(__xludf.DUMMYFUNCTION("""COMPUTED_VALUE"""),"24. Projetos ou atividades Específicos")</f>
        <v>24. Projetos ou atividades Específicos</v>
      </c>
      <c r="B252" s="54">
        <f>IFERROR(__xludf.DUMMYFUNCTION("""COMPUTED_VALUE"""),45163.0)</f>
        <v>45163</v>
      </c>
      <c r="C252" s="48"/>
    </row>
    <row r="253">
      <c r="A253" s="48" t="str">
        <f>IFERROR(__xludf.DUMMYFUNCTION("""COMPUTED_VALUE"""),"24. Projetos ou atividades Específicos")</f>
        <v>24. Projetos ou atividades Específicos</v>
      </c>
      <c r="B253" s="54">
        <f>IFERROR(__xludf.DUMMYFUNCTION("""COMPUTED_VALUE"""),45163.0)</f>
        <v>45163</v>
      </c>
      <c r="C253" s="48"/>
    </row>
    <row r="254">
      <c r="A254" s="48" t="str">
        <f>IFERROR(__xludf.DUMMYFUNCTION("""COMPUTED_VALUE"""),"24. Projetos ou atividades Específicos")</f>
        <v>24. Projetos ou atividades Específicos</v>
      </c>
      <c r="B254" s="54">
        <f>IFERROR(__xludf.DUMMYFUNCTION("""COMPUTED_VALUE"""),45166.0)</f>
        <v>45166</v>
      </c>
      <c r="C254" s="48"/>
    </row>
    <row r="255">
      <c r="A255" s="48" t="str">
        <f>IFERROR(__xludf.DUMMYFUNCTION("""COMPUTED_VALUE"""),"18. Mobilização Social")</f>
        <v>18. Mobilização Social</v>
      </c>
      <c r="B255" s="54">
        <f>IFERROR(__xludf.DUMMYFUNCTION("""COMPUTED_VALUE"""),45166.0)</f>
        <v>45166</v>
      </c>
      <c r="C255" s="48" t="str">
        <f>IFERROR(__xludf.DUMMYFUNCTION("""COMPUTED_VALUE"""),"8")</f>
        <v>8</v>
      </c>
    </row>
    <row r="256">
      <c r="A256" s="48" t="str">
        <f>IFERROR(__xludf.DUMMYFUNCTION("""COMPUTED_VALUE"""),"9. CBH – Reunião de Câmara Técnica, Câmara específica ou GT")</f>
        <v>9. CBH – Reunião de Câmara Técnica, Câmara específica ou GT</v>
      </c>
      <c r="B256" s="54">
        <f>IFERROR(__xludf.DUMMYFUNCTION("""COMPUTED_VALUE"""),45167.0)</f>
        <v>45167</v>
      </c>
      <c r="C256" s="48"/>
    </row>
    <row r="257">
      <c r="A257" s="48" t="str">
        <f>IFERROR(__xludf.DUMMYFUNCTION("""COMPUTED_VALUE"""),"18. Mobilização Social")</f>
        <v>18. Mobilização Social</v>
      </c>
      <c r="B257" s="54">
        <f>IFERROR(__xludf.DUMMYFUNCTION("""COMPUTED_VALUE"""),45167.0)</f>
        <v>45167</v>
      </c>
      <c r="C257" s="48"/>
    </row>
    <row r="258">
      <c r="A258" s="48" t="str">
        <f>IFERROR(__xludf.DUMMYFUNCTION("""COMPUTED_VALUE"""),"20. Ação de Comunicação / Informação / Capacitação Externa")</f>
        <v>20. Ação de Comunicação / Informação / Capacitação Externa</v>
      </c>
      <c r="B258" s="54">
        <f>IFERROR(__xludf.DUMMYFUNCTION("""COMPUTED_VALUE"""),45169.0)</f>
        <v>45169</v>
      </c>
      <c r="C258" s="48"/>
    </row>
    <row r="259">
      <c r="A259" s="48" t="str">
        <f>IFERROR(__xludf.DUMMYFUNCTION("""COMPUTED_VALUE"""),"24. Projetos ou atividades Específicos")</f>
        <v>24. Projetos ou atividades Específicos</v>
      </c>
      <c r="B259" s="54">
        <f>IFERROR(__xludf.DUMMYFUNCTION("""COMPUTED_VALUE"""),45173.0)</f>
        <v>45173</v>
      </c>
      <c r="C259" s="48"/>
    </row>
    <row r="260">
      <c r="A260" s="48" t="str">
        <f>IFERROR(__xludf.DUMMYFUNCTION("""COMPUTED_VALUE"""),"20. Ação de Comunicação / Informação / Capacitação Externa")</f>
        <v>20. Ação de Comunicação / Informação / Capacitação Externa</v>
      </c>
      <c r="B260" s="54">
        <f>IFERROR(__xludf.DUMMYFUNCTION("""COMPUTED_VALUE"""),45173.0)</f>
        <v>45173</v>
      </c>
      <c r="C260" s="48"/>
    </row>
    <row r="261">
      <c r="A261" s="48" t="str">
        <f>IFERROR(__xludf.DUMMYFUNCTION("""COMPUTED_VALUE"""),"8. CBH – Reunião de Diretoria do CBH")</f>
        <v>8. CBH – Reunião de Diretoria do CBH</v>
      </c>
      <c r="B261" s="54">
        <f>IFERROR(__xludf.DUMMYFUNCTION("""COMPUTED_VALUE"""),45174.0)</f>
        <v>45174</v>
      </c>
      <c r="C261" s="48"/>
    </row>
    <row r="262">
      <c r="A262" s="48" t="str">
        <f>IFERROR(__xludf.DUMMYFUNCTION("""COMPUTED_VALUE"""),"20. Ação de Comunicação / Informação / Capacitação Externa")</f>
        <v>20. Ação de Comunicação / Informação / Capacitação Externa</v>
      </c>
      <c r="B262" s="54">
        <f>IFERROR(__xludf.DUMMYFUNCTION("""COMPUTED_VALUE"""),45174.0)</f>
        <v>45174</v>
      </c>
      <c r="C262" s="48"/>
    </row>
    <row r="263">
      <c r="A263" s="48" t="str">
        <f>IFERROR(__xludf.DUMMYFUNCTION("""COMPUTED_VALUE"""),"24. Projetos ou atividades Específicos")</f>
        <v>24. Projetos ou atividades Específicos</v>
      </c>
      <c r="B263" s="54">
        <f>IFERROR(__xludf.DUMMYFUNCTION("""COMPUTED_VALUE"""),45174.0)</f>
        <v>45174</v>
      </c>
      <c r="C263" s="48"/>
    </row>
    <row r="264">
      <c r="A264" s="48" t="str">
        <f>IFERROR(__xludf.DUMMYFUNCTION("""COMPUTED_VALUE"""),"20. Ação de Comunicação / Informação / Capacitação Externa")</f>
        <v>20. Ação de Comunicação / Informação / Capacitação Externa</v>
      </c>
      <c r="B264" s="54">
        <f>IFERROR(__xludf.DUMMYFUNCTION("""COMPUTED_VALUE"""),45174.0)</f>
        <v>45174</v>
      </c>
      <c r="C264" s="48"/>
    </row>
    <row r="265">
      <c r="A265" s="48" t="str">
        <f>IFERROR(__xludf.DUMMYFUNCTION("""COMPUTED_VALUE"""),"24. Projetos ou atividades Específicos")</f>
        <v>24. Projetos ou atividades Específicos</v>
      </c>
      <c r="B265" s="54">
        <f>IFERROR(__xludf.DUMMYFUNCTION("""COMPUTED_VALUE"""),45175.0)</f>
        <v>45175</v>
      </c>
      <c r="C265" s="48"/>
    </row>
    <row r="266">
      <c r="A266" s="48" t="str">
        <f>IFERROR(__xludf.DUMMYFUNCTION("""COMPUTED_VALUE"""),"24. Projetos ou atividades Específicos")</f>
        <v>24. Projetos ou atividades Específicos</v>
      </c>
      <c r="B266" s="54">
        <f>IFERROR(__xludf.DUMMYFUNCTION("""COMPUTED_VALUE"""),45175.0)</f>
        <v>45175</v>
      </c>
      <c r="C266" s="48"/>
    </row>
    <row r="267">
      <c r="A267" s="48" t="str">
        <f>IFERROR(__xludf.DUMMYFUNCTION("""COMPUTED_VALUE"""),"24. Projetos ou atividades Específicos")</f>
        <v>24. Projetos ou atividades Específicos</v>
      </c>
      <c r="B267" s="54">
        <f>IFERROR(__xludf.DUMMYFUNCTION("""COMPUTED_VALUE"""),45180.0)</f>
        <v>45180</v>
      </c>
      <c r="C267" s="48"/>
    </row>
    <row r="268">
      <c r="A268" s="48" t="str">
        <f>IFERROR(__xludf.DUMMYFUNCTION("""COMPUTED_VALUE"""),"24. Projetos ou atividades Específicos")</f>
        <v>24. Projetos ou atividades Específicos</v>
      </c>
      <c r="B268" s="54">
        <f>IFERROR(__xludf.DUMMYFUNCTION("""COMPUTED_VALUE"""),45181.0)</f>
        <v>45181</v>
      </c>
      <c r="C268" s="48"/>
    </row>
    <row r="269">
      <c r="A269" s="48" t="str">
        <f>IFERROR(__xludf.DUMMYFUNCTION("""COMPUTED_VALUE"""),"24. Projetos ou atividades Específicos")</f>
        <v>24. Projetos ou atividades Específicos</v>
      </c>
      <c r="B269" s="54">
        <f>IFERROR(__xludf.DUMMYFUNCTION("""COMPUTED_VALUE"""),45181.0)</f>
        <v>45181</v>
      </c>
      <c r="C269" s="48"/>
    </row>
    <row r="270">
      <c r="A270" s="48" t="str">
        <f>IFERROR(__xludf.DUMMYFUNCTION("""COMPUTED_VALUE"""),"6. CBH – Reunião Ordinária do Comitê")</f>
        <v>6. CBH – Reunião Ordinária do Comitê</v>
      </c>
      <c r="B270" s="54">
        <f>IFERROR(__xludf.DUMMYFUNCTION("""COMPUTED_VALUE"""),45182.0)</f>
        <v>45182</v>
      </c>
      <c r="C270" s="48" t="str">
        <f>IFERROR(__xludf.DUMMYFUNCTION("""COMPUTED_VALUE"""),"30")</f>
        <v>30</v>
      </c>
    </row>
    <row r="271">
      <c r="A271" s="48" t="str">
        <f>IFERROR(__xludf.DUMMYFUNCTION("""COMPUTED_VALUE"""),"10. CBH – Capacitação do Comitê")</f>
        <v>10. CBH – Capacitação do Comitê</v>
      </c>
      <c r="B271" s="54">
        <f>IFERROR(__xludf.DUMMYFUNCTION("""COMPUTED_VALUE"""),45182.0)</f>
        <v>45182</v>
      </c>
      <c r="C271" s="48" t="str">
        <f>IFERROR(__xludf.DUMMYFUNCTION("""COMPUTED_VALUE"""),"30")</f>
        <v>30</v>
      </c>
    </row>
    <row r="272">
      <c r="A272" s="48" t="str">
        <f>IFERROR(__xludf.DUMMYFUNCTION("""COMPUTED_VALUE"""),"24. Projetos ou atividades Específicos")</f>
        <v>24. Projetos ou atividades Específicos</v>
      </c>
      <c r="B272" s="54">
        <f>IFERROR(__xludf.DUMMYFUNCTION("""COMPUTED_VALUE"""),45182.0)</f>
        <v>45182</v>
      </c>
      <c r="C272" s="48"/>
    </row>
    <row r="273">
      <c r="A273" s="48" t="str">
        <f>IFERROR(__xludf.DUMMYFUNCTION("""COMPUTED_VALUE"""),"20. Ação de Comunicação / Informação / Capacitação Externa")</f>
        <v>20. Ação de Comunicação / Informação / Capacitação Externa</v>
      </c>
      <c r="B273" s="54">
        <f>IFERROR(__xludf.DUMMYFUNCTION("""COMPUTED_VALUE"""),45182.0)</f>
        <v>45182</v>
      </c>
      <c r="C273" s="48"/>
    </row>
    <row r="274">
      <c r="A274" s="48" t="str">
        <f>IFERROR(__xludf.DUMMYFUNCTION("""COMPUTED_VALUE"""),"18. Mobilização Social")</f>
        <v>18. Mobilização Social</v>
      </c>
      <c r="B274" s="54">
        <f>IFERROR(__xludf.DUMMYFUNCTION("""COMPUTED_VALUE"""),45182.0)</f>
        <v>45182</v>
      </c>
      <c r="C274" s="48"/>
    </row>
    <row r="275">
      <c r="A275" s="48" t="str">
        <f>IFERROR(__xludf.DUMMYFUNCTION("""COMPUTED_VALUE"""),"24. Projetos ou atividades Específicos")</f>
        <v>24. Projetos ou atividades Específicos</v>
      </c>
      <c r="B275" s="54">
        <f>IFERROR(__xludf.DUMMYFUNCTION("""COMPUTED_VALUE"""),45183.0)</f>
        <v>45183</v>
      </c>
      <c r="C275" s="48"/>
    </row>
    <row r="276">
      <c r="A276" s="48" t="str">
        <f>IFERROR(__xludf.DUMMYFUNCTION("""COMPUTED_VALUE"""),"24. Projetos ou atividades Específicos")</f>
        <v>24. Projetos ou atividades Específicos</v>
      </c>
      <c r="B276" s="54">
        <f>IFERROR(__xludf.DUMMYFUNCTION("""COMPUTED_VALUE"""),45183.0)</f>
        <v>45183</v>
      </c>
      <c r="C276" s="48"/>
    </row>
    <row r="277">
      <c r="A277" s="48" t="str">
        <f>IFERROR(__xludf.DUMMYFUNCTION("""COMPUTED_VALUE"""),"24. Projetos ou atividades Específicos")</f>
        <v>24. Projetos ou atividades Específicos</v>
      </c>
      <c r="B277" s="54">
        <f>IFERROR(__xludf.DUMMYFUNCTION("""COMPUTED_VALUE"""),45184.0)</f>
        <v>45184</v>
      </c>
      <c r="C277" s="48"/>
    </row>
    <row r="278">
      <c r="A278" s="48" t="str">
        <f>IFERROR(__xludf.DUMMYFUNCTION("""COMPUTED_VALUE"""),"24. Projetos ou atividades Específicos")</f>
        <v>24. Projetos ou atividades Específicos</v>
      </c>
      <c r="B278" s="54">
        <f>IFERROR(__xludf.DUMMYFUNCTION("""COMPUTED_VALUE"""),45187.0)</f>
        <v>45187</v>
      </c>
      <c r="C278" s="48"/>
    </row>
    <row r="279">
      <c r="A279" s="48" t="str">
        <f>IFERROR(__xludf.DUMMYFUNCTION("""COMPUTED_VALUE"""),"9. CBH – Reunião de Câmara Técnica, Câmara específica ou GT")</f>
        <v>9. CBH – Reunião de Câmara Técnica, Câmara específica ou GT</v>
      </c>
      <c r="B279" s="54">
        <f>IFERROR(__xludf.DUMMYFUNCTION("""COMPUTED_VALUE"""),45187.0)</f>
        <v>45187</v>
      </c>
      <c r="C279" s="48" t="str">
        <f>IFERROR(__xludf.DUMMYFUNCTION("""COMPUTED_VALUE"""),"5")</f>
        <v>5</v>
      </c>
    </row>
    <row r="280">
      <c r="A280" s="48" t="str">
        <f>IFERROR(__xludf.DUMMYFUNCTION("""COMPUTED_VALUE"""),"24. Projetos ou atividades Específicos")</f>
        <v>24. Projetos ou atividades Específicos</v>
      </c>
      <c r="B280" s="54">
        <f>IFERROR(__xludf.DUMMYFUNCTION("""COMPUTED_VALUE"""),45188.0)</f>
        <v>45188</v>
      </c>
      <c r="C280" s="48"/>
    </row>
    <row r="281">
      <c r="A281" s="48" t="str">
        <f>IFERROR(__xludf.DUMMYFUNCTION("""COMPUTED_VALUE"""),"20. Ação de Comunicação / Informação / Capacitação Externa")</f>
        <v>20. Ação de Comunicação / Informação / Capacitação Externa</v>
      </c>
      <c r="B281" s="54">
        <f>IFERROR(__xludf.DUMMYFUNCTION("""COMPUTED_VALUE"""),45188.0)</f>
        <v>45188</v>
      </c>
      <c r="C281" s="48"/>
    </row>
    <row r="282">
      <c r="A282" s="48" t="str">
        <f>IFERROR(__xludf.DUMMYFUNCTION("""COMPUTED_VALUE"""),"12. CBH – Reunião do Fórum Cearense de Comitê")</f>
        <v>12. CBH – Reunião do Fórum Cearense de Comitê</v>
      </c>
      <c r="B282" s="54">
        <f>IFERROR(__xludf.DUMMYFUNCTION("""COMPUTED_VALUE"""),45189.0)</f>
        <v>45189</v>
      </c>
      <c r="C282" s="48" t="str">
        <f>IFERROR(__xludf.DUMMYFUNCTION("""COMPUTED_VALUE"""),"2")</f>
        <v>2</v>
      </c>
    </row>
    <row r="283">
      <c r="A283" s="48" t="str">
        <f>IFERROR(__xludf.DUMMYFUNCTION("""COMPUTED_VALUE"""),"20. Ação de Comunicação / Informação / Capacitação Externa")</f>
        <v>20. Ação de Comunicação / Informação / Capacitação Externa</v>
      </c>
      <c r="B283" s="54">
        <f>IFERROR(__xludf.DUMMYFUNCTION("""COMPUTED_VALUE"""),45189.0)</f>
        <v>45189</v>
      </c>
      <c r="C283" s="48"/>
    </row>
    <row r="284">
      <c r="A284" s="48" t="str">
        <f>IFERROR(__xludf.DUMMYFUNCTION("""COMPUTED_VALUE"""),"24. Projetos ou atividades Específicos")</f>
        <v>24. Projetos ou atividades Específicos</v>
      </c>
      <c r="B284" s="54">
        <f>IFERROR(__xludf.DUMMYFUNCTION("""COMPUTED_VALUE"""),45189.0)</f>
        <v>45189</v>
      </c>
      <c r="C284" s="48"/>
    </row>
    <row r="285">
      <c r="A285" s="48" t="str">
        <f>IFERROR(__xludf.DUMMYFUNCTION("""COMPUTED_VALUE"""),"12. CBH – Reunião do Fórum Cearense de Comitê")</f>
        <v>12. CBH – Reunião do Fórum Cearense de Comitê</v>
      </c>
      <c r="B285" s="54">
        <f>IFERROR(__xludf.DUMMYFUNCTION("""COMPUTED_VALUE"""),45190.0)</f>
        <v>45190</v>
      </c>
      <c r="C285" s="48"/>
    </row>
    <row r="286">
      <c r="A286" s="48" t="str">
        <f>IFERROR(__xludf.DUMMYFUNCTION("""COMPUTED_VALUE"""),"24. Projetos ou atividades Específicos")</f>
        <v>24. Projetos ou atividades Específicos</v>
      </c>
      <c r="B286" s="54">
        <f>IFERROR(__xludf.DUMMYFUNCTION("""COMPUTED_VALUE"""),45190.0)</f>
        <v>45190</v>
      </c>
      <c r="C286" s="48"/>
    </row>
    <row r="287">
      <c r="A287" s="48" t="str">
        <f>IFERROR(__xludf.DUMMYFUNCTION("""COMPUTED_VALUE"""),"24. Projetos ou atividades Específicos")</f>
        <v>24. Projetos ou atividades Específicos</v>
      </c>
      <c r="B287" s="54">
        <f>IFERROR(__xludf.DUMMYFUNCTION("""COMPUTED_VALUE"""),45190.0)</f>
        <v>45190</v>
      </c>
      <c r="C287" s="48"/>
    </row>
    <row r="288">
      <c r="A288" s="48" t="str">
        <f>IFERROR(__xludf.DUMMYFUNCTION("""COMPUTED_VALUE"""),"20. Ação de Comunicação / Informação / Capacitação Externa")</f>
        <v>20. Ação de Comunicação / Informação / Capacitação Externa</v>
      </c>
      <c r="B288" s="54">
        <f>IFERROR(__xludf.DUMMYFUNCTION("""COMPUTED_VALUE"""),45190.0)</f>
        <v>45190</v>
      </c>
      <c r="C288" s="48"/>
    </row>
    <row r="289">
      <c r="A289" s="48" t="str">
        <f>IFERROR(__xludf.DUMMYFUNCTION("""COMPUTED_VALUE"""),"24. Projetos ou atividades Específicos")</f>
        <v>24. Projetos ou atividades Específicos</v>
      </c>
      <c r="B289" s="54">
        <f>IFERROR(__xludf.DUMMYFUNCTION("""COMPUTED_VALUE"""),45191.0)</f>
        <v>45191</v>
      </c>
      <c r="C289" s="48"/>
    </row>
    <row r="290">
      <c r="A290" s="48" t="str">
        <f>IFERROR(__xludf.DUMMYFUNCTION("""COMPUTED_VALUE"""),"24. Projetos ou atividades Específicos")</f>
        <v>24. Projetos ou atividades Específicos</v>
      </c>
      <c r="B290" s="54">
        <f>IFERROR(__xludf.DUMMYFUNCTION("""COMPUTED_VALUE"""),45194.0)</f>
        <v>45194</v>
      </c>
      <c r="C290" s="48"/>
    </row>
    <row r="291">
      <c r="A291" s="48" t="str">
        <f>IFERROR(__xludf.DUMMYFUNCTION("""COMPUTED_VALUE"""),"20. Ação de Comunicação / Informação / Capacitação Externa")</f>
        <v>20. Ação de Comunicação / Informação / Capacitação Externa</v>
      </c>
      <c r="B291" s="54">
        <f>IFERROR(__xludf.DUMMYFUNCTION("""COMPUTED_VALUE"""),45195.0)</f>
        <v>45195</v>
      </c>
      <c r="C291" s="48"/>
    </row>
    <row r="292">
      <c r="A292" s="48" t="str">
        <f>IFERROR(__xludf.DUMMYFUNCTION("""COMPUTED_VALUE"""),"20. Ação de Comunicação / Informação / Capacitação Externa")</f>
        <v>20. Ação de Comunicação / Informação / Capacitação Externa</v>
      </c>
      <c r="B292" s="54">
        <f>IFERROR(__xludf.DUMMYFUNCTION("""COMPUTED_VALUE"""),45201.0)</f>
        <v>45201</v>
      </c>
      <c r="C292" s="48"/>
    </row>
    <row r="293">
      <c r="A293" s="48" t="str">
        <f>IFERROR(__xludf.DUMMYFUNCTION("""COMPUTED_VALUE"""),"9. CBH – Reunião de Câmara Técnica, Câmara específica ou GT")</f>
        <v>9. CBH – Reunião de Câmara Técnica, Câmara específica ou GT</v>
      </c>
      <c r="B293" s="54">
        <f>IFERROR(__xludf.DUMMYFUNCTION("""COMPUTED_VALUE"""),45201.0)</f>
        <v>45201</v>
      </c>
      <c r="C293" s="48" t="str">
        <f>IFERROR(__xludf.DUMMYFUNCTION("""COMPUTED_VALUE"""),"4")</f>
        <v>4</v>
      </c>
    </row>
    <row r="294">
      <c r="A294" s="48" t="str">
        <f>IFERROR(__xludf.DUMMYFUNCTION("""COMPUTED_VALUE"""),"24. Projetos ou atividades Específicos")</f>
        <v>24. Projetos ou atividades Específicos</v>
      </c>
      <c r="B294" s="54">
        <f>IFERROR(__xludf.DUMMYFUNCTION("""COMPUTED_VALUE"""),45201.0)</f>
        <v>45201</v>
      </c>
      <c r="C294" s="48"/>
    </row>
    <row r="295">
      <c r="A295" s="48" t="str">
        <f>IFERROR(__xludf.DUMMYFUNCTION("""COMPUTED_VALUE"""),"24. Projetos ou atividades Específicos")</f>
        <v>24. Projetos ou atividades Específicos</v>
      </c>
      <c r="B295" s="54">
        <f>IFERROR(__xludf.DUMMYFUNCTION("""COMPUTED_VALUE"""),45201.0)</f>
        <v>45201</v>
      </c>
      <c r="C295" s="48"/>
    </row>
    <row r="296">
      <c r="A296" s="48" t="str">
        <f>IFERROR(__xludf.DUMMYFUNCTION("""COMPUTED_VALUE"""),"20. Ação de Comunicação / Informação / Capacitação Externa")</f>
        <v>20. Ação de Comunicação / Informação / Capacitação Externa</v>
      </c>
      <c r="B296" s="54">
        <f>IFERROR(__xludf.DUMMYFUNCTION("""COMPUTED_VALUE"""),45201.0)</f>
        <v>45201</v>
      </c>
      <c r="C296" s="48"/>
    </row>
    <row r="297">
      <c r="A297" s="48" t="str">
        <f>IFERROR(__xludf.DUMMYFUNCTION("""COMPUTED_VALUE"""),"20. Ação de Comunicação / Informação / Capacitação Externa")</f>
        <v>20. Ação de Comunicação / Informação / Capacitação Externa</v>
      </c>
      <c r="B297" s="54">
        <f>IFERROR(__xludf.DUMMYFUNCTION("""COMPUTED_VALUE"""),45202.0)</f>
        <v>45202</v>
      </c>
      <c r="C297" s="48"/>
    </row>
    <row r="298">
      <c r="A298" s="48" t="str">
        <f>IFERROR(__xludf.DUMMYFUNCTION("""COMPUTED_VALUE"""),"20. Ação de Comunicação / Informação / Capacitação Externa")</f>
        <v>20. Ação de Comunicação / Informação / Capacitação Externa</v>
      </c>
      <c r="B298" s="54">
        <f>IFERROR(__xludf.DUMMYFUNCTION("""COMPUTED_VALUE"""),45202.0)</f>
        <v>45202</v>
      </c>
      <c r="C298" s="48"/>
    </row>
    <row r="299">
      <c r="A299" s="48" t="str">
        <f>IFERROR(__xludf.DUMMYFUNCTION("""COMPUTED_VALUE"""),"24. Projetos ou atividades Específicos")</f>
        <v>24. Projetos ou atividades Específicos</v>
      </c>
      <c r="B299" s="54">
        <f>IFERROR(__xludf.DUMMYFUNCTION("""COMPUTED_VALUE"""),45201.0)</f>
        <v>45201</v>
      </c>
      <c r="C299" s="48"/>
    </row>
    <row r="300">
      <c r="A300" s="48" t="str">
        <f>IFERROR(__xludf.DUMMYFUNCTION("""COMPUTED_VALUE"""),"8. CBH – Reunião de Diretoria do CBH")</f>
        <v>8. CBH – Reunião de Diretoria do CBH</v>
      </c>
      <c r="B300" s="54">
        <f>IFERROR(__xludf.DUMMYFUNCTION("""COMPUTED_VALUE"""),45204.0)</f>
        <v>45204</v>
      </c>
      <c r="C300" s="48" t="str">
        <f>IFERROR(__xludf.DUMMYFUNCTION("""COMPUTED_VALUE"""),"5")</f>
        <v>5</v>
      </c>
    </row>
    <row r="301">
      <c r="A301" s="48" t="str">
        <f>IFERROR(__xludf.DUMMYFUNCTION("""COMPUTED_VALUE"""),"24. Projetos ou atividades Específicos")</f>
        <v>24. Projetos ou atividades Específicos</v>
      </c>
      <c r="B301" s="54">
        <f>IFERROR(__xludf.DUMMYFUNCTION("""COMPUTED_VALUE"""),45204.0)</f>
        <v>45204</v>
      </c>
      <c r="C301" s="48"/>
    </row>
    <row r="302">
      <c r="A302" s="48" t="str">
        <f>IFERROR(__xludf.DUMMYFUNCTION("""COMPUTED_VALUE"""),"24. Projetos ou atividades Específicos")</f>
        <v>24. Projetos ou atividades Específicos</v>
      </c>
      <c r="B302" s="54">
        <f>IFERROR(__xludf.DUMMYFUNCTION("""COMPUTED_VALUE"""),45204.0)</f>
        <v>45204</v>
      </c>
      <c r="C302" s="48"/>
    </row>
    <row r="303">
      <c r="A303" s="48" t="str">
        <f>IFERROR(__xludf.DUMMYFUNCTION("""COMPUTED_VALUE"""),"20. Ação de Comunicação / Informação / Capacitação Externa")</f>
        <v>20. Ação de Comunicação / Informação / Capacitação Externa</v>
      </c>
      <c r="B303" s="54">
        <f>IFERROR(__xludf.DUMMYFUNCTION("""COMPUTED_VALUE"""),45204.0)</f>
        <v>45204</v>
      </c>
      <c r="C303" s="48"/>
    </row>
    <row r="304">
      <c r="A304" s="48" t="str">
        <f>IFERROR(__xludf.DUMMYFUNCTION("""COMPUTED_VALUE"""),"20. Ação de Comunicação / Informação / Capacitação Externa")</f>
        <v>20. Ação de Comunicação / Informação / Capacitação Externa</v>
      </c>
      <c r="B304" s="54">
        <f>IFERROR(__xludf.DUMMYFUNCTION("""COMPUTED_VALUE"""),45205.0)</f>
        <v>45205</v>
      </c>
      <c r="C304" s="48"/>
    </row>
    <row r="305">
      <c r="A305" s="48" t="str">
        <f>IFERROR(__xludf.DUMMYFUNCTION("""COMPUTED_VALUE"""),"20. Ação de Comunicação / Informação / Capacitação Externa")</f>
        <v>20. Ação de Comunicação / Informação / Capacitação Externa</v>
      </c>
      <c r="B305" s="54">
        <f>IFERROR(__xludf.DUMMYFUNCTION("""COMPUTED_VALUE"""),45207.0)</f>
        <v>45207</v>
      </c>
      <c r="C305" s="48"/>
    </row>
    <row r="306">
      <c r="A306" s="48" t="str">
        <f>IFERROR(__xludf.DUMMYFUNCTION("""COMPUTED_VALUE"""),"24. Projetos ou atividades Específicos")</f>
        <v>24. Projetos ou atividades Específicos</v>
      </c>
      <c r="B306" s="54">
        <f>IFERROR(__xludf.DUMMYFUNCTION("""COMPUTED_VALUE"""),45208.0)</f>
        <v>45208</v>
      </c>
      <c r="C306" s="48"/>
    </row>
    <row r="307">
      <c r="A307" s="48" t="str">
        <f>IFERROR(__xludf.DUMMYFUNCTION("""COMPUTED_VALUE"""),"20. Ação de Comunicação / Informação / Capacitação Externa")</f>
        <v>20. Ação de Comunicação / Informação / Capacitação Externa</v>
      </c>
      <c r="B307" s="54">
        <f>IFERROR(__xludf.DUMMYFUNCTION("""COMPUTED_VALUE"""),45208.0)</f>
        <v>45208</v>
      </c>
      <c r="C307" s="48"/>
    </row>
    <row r="308">
      <c r="A308" s="48" t="str">
        <f>IFERROR(__xludf.DUMMYFUNCTION("""COMPUTED_VALUE"""),"18. Mobilização Social")</f>
        <v>18. Mobilização Social</v>
      </c>
      <c r="B308" s="54">
        <f>IFERROR(__xludf.DUMMYFUNCTION("""COMPUTED_VALUE"""),45209.0)</f>
        <v>45209</v>
      </c>
      <c r="C308" s="48"/>
    </row>
    <row r="309">
      <c r="A309" s="48" t="str">
        <f>IFERROR(__xludf.DUMMYFUNCTION("""COMPUTED_VALUE"""),"20. Ação de Comunicação / Informação / Capacitação Externa")</f>
        <v>20. Ação de Comunicação / Informação / Capacitação Externa</v>
      </c>
      <c r="B309" s="54">
        <f>IFERROR(__xludf.DUMMYFUNCTION("""COMPUTED_VALUE"""),45211.0)</f>
        <v>45211</v>
      </c>
      <c r="C309" s="48"/>
    </row>
    <row r="310">
      <c r="A310" s="48" t="str">
        <f>IFERROR(__xludf.DUMMYFUNCTION("""COMPUTED_VALUE"""),"20. Ação de Comunicação / Informação / Capacitação Externa")</f>
        <v>20. Ação de Comunicação / Informação / Capacitação Externa</v>
      </c>
      <c r="B310" s="54">
        <f>IFERROR(__xludf.DUMMYFUNCTION("""COMPUTED_VALUE"""),45211.0)</f>
        <v>45211</v>
      </c>
      <c r="C310" s="48"/>
    </row>
    <row r="311">
      <c r="A311" s="48" t="str">
        <f>IFERROR(__xludf.DUMMYFUNCTION("""COMPUTED_VALUE"""),"18. Mobilização Social")</f>
        <v>18. Mobilização Social</v>
      </c>
      <c r="B311" s="54">
        <f>IFERROR(__xludf.DUMMYFUNCTION("""COMPUTED_VALUE"""),45215.0)</f>
        <v>45215</v>
      </c>
      <c r="C311" s="48"/>
    </row>
    <row r="312">
      <c r="A312" s="48" t="str">
        <f>IFERROR(__xludf.DUMMYFUNCTION("""COMPUTED_VALUE"""),"24. Projetos ou atividades Específicos")</f>
        <v>24. Projetos ou atividades Específicos</v>
      </c>
      <c r="B312" s="54">
        <f>IFERROR(__xludf.DUMMYFUNCTION("""COMPUTED_VALUE"""),45215.0)</f>
        <v>45215</v>
      </c>
      <c r="C312" s="48"/>
    </row>
    <row r="313">
      <c r="A313" s="48" t="str">
        <f>IFERROR(__xludf.DUMMYFUNCTION("""COMPUTED_VALUE"""),"20. Ação de Comunicação / Informação / Capacitação Externa")</f>
        <v>20. Ação de Comunicação / Informação / Capacitação Externa</v>
      </c>
      <c r="B313" s="54">
        <f>IFERROR(__xludf.DUMMYFUNCTION("""COMPUTED_VALUE"""),45215.0)</f>
        <v>45215</v>
      </c>
      <c r="C313" s="48"/>
    </row>
    <row r="314">
      <c r="A314" s="48" t="str">
        <f>IFERROR(__xludf.DUMMYFUNCTION("""COMPUTED_VALUE"""),"24. Projetos ou atividades Específicos")</f>
        <v>24. Projetos ou atividades Específicos</v>
      </c>
      <c r="B314" s="54">
        <f>IFERROR(__xludf.DUMMYFUNCTION("""COMPUTED_VALUE"""),45215.0)</f>
        <v>45215</v>
      </c>
      <c r="C314" s="48"/>
    </row>
    <row r="315">
      <c r="A315" s="48" t="str">
        <f>IFERROR(__xludf.DUMMYFUNCTION("""COMPUTED_VALUE"""),"24. Projetos ou atividades Específicos")</f>
        <v>24. Projetos ou atividades Específicos</v>
      </c>
      <c r="B315" s="54">
        <f>IFERROR(__xludf.DUMMYFUNCTION("""COMPUTED_VALUE"""),45215.0)</f>
        <v>45215</v>
      </c>
      <c r="C315" s="48"/>
    </row>
    <row r="316">
      <c r="A316" s="48" t="str">
        <f>IFERROR(__xludf.DUMMYFUNCTION("""COMPUTED_VALUE"""),"24. Projetos ou atividades Específicos")</f>
        <v>24. Projetos ou atividades Específicos</v>
      </c>
      <c r="B316" s="54">
        <f>IFERROR(__xludf.DUMMYFUNCTION("""COMPUTED_VALUE"""),45215.0)</f>
        <v>45215</v>
      </c>
      <c r="C316" s="48"/>
    </row>
    <row r="317">
      <c r="A317" s="48" t="str">
        <f>IFERROR(__xludf.DUMMYFUNCTION("""COMPUTED_VALUE"""),"24. Projetos ou atividades Específicos")</f>
        <v>24. Projetos ou atividades Específicos</v>
      </c>
      <c r="B317" s="54">
        <f>IFERROR(__xludf.DUMMYFUNCTION("""COMPUTED_VALUE"""),45215.0)</f>
        <v>45215</v>
      </c>
      <c r="C317" s="48"/>
    </row>
    <row r="318">
      <c r="A318" s="48" t="str">
        <f>IFERROR(__xludf.DUMMYFUNCTION("""COMPUTED_VALUE"""),"20. Ação de Comunicação / Informação / Capacitação Externa")</f>
        <v>20. Ação de Comunicação / Informação / Capacitação Externa</v>
      </c>
      <c r="B318" s="54">
        <f>IFERROR(__xludf.DUMMYFUNCTION("""COMPUTED_VALUE"""),45216.0)</f>
        <v>45216</v>
      </c>
      <c r="C318" s="48"/>
    </row>
    <row r="319">
      <c r="A319" s="48" t="str">
        <f>IFERROR(__xludf.DUMMYFUNCTION("""COMPUTED_VALUE"""),"24. Projetos ou atividades Específicos")</f>
        <v>24. Projetos ou atividades Específicos</v>
      </c>
      <c r="B319" s="54">
        <f>IFERROR(__xludf.DUMMYFUNCTION("""COMPUTED_VALUE"""),45216.0)</f>
        <v>45216</v>
      </c>
      <c r="C319" s="48"/>
    </row>
    <row r="320">
      <c r="A320" s="48" t="str">
        <f>IFERROR(__xludf.DUMMYFUNCTION("""COMPUTED_VALUE"""),"24. Projetos ou atividades Específicos")</f>
        <v>24. Projetos ou atividades Específicos</v>
      </c>
      <c r="B320" s="54">
        <f>IFERROR(__xludf.DUMMYFUNCTION("""COMPUTED_VALUE"""),45216.0)</f>
        <v>45216</v>
      </c>
      <c r="C320" s="48" t="str">
        <f>IFERROR(__xludf.DUMMYFUNCTION("""COMPUTED_VALUE"""),"3")</f>
        <v>3</v>
      </c>
    </row>
    <row r="321">
      <c r="A321" s="48" t="str">
        <f>IFERROR(__xludf.DUMMYFUNCTION("""COMPUTED_VALUE"""),"10. CBH – Capacitação do Comitê")</f>
        <v>10. CBH – Capacitação do Comitê</v>
      </c>
      <c r="B321" s="54">
        <f>IFERROR(__xludf.DUMMYFUNCTION("""COMPUTED_VALUE"""),45217.0)</f>
        <v>45217</v>
      </c>
      <c r="C321" s="48" t="str">
        <f>IFERROR(__xludf.DUMMYFUNCTION("""COMPUTED_VALUE"""),"19")</f>
        <v>19</v>
      </c>
    </row>
    <row r="322">
      <c r="A322" s="48" t="str">
        <f>IFERROR(__xludf.DUMMYFUNCTION("""COMPUTED_VALUE"""),"20. Ação de Comunicação / Informação / Capacitação Externa")</f>
        <v>20. Ação de Comunicação / Informação / Capacitação Externa</v>
      </c>
      <c r="B322" s="54">
        <f>IFERROR(__xludf.DUMMYFUNCTION("""COMPUTED_VALUE"""),45217.0)</f>
        <v>45217</v>
      </c>
      <c r="C322" s="48"/>
    </row>
    <row r="323">
      <c r="A323" s="48" t="str">
        <f>IFERROR(__xludf.DUMMYFUNCTION("""COMPUTED_VALUE"""),"10. CBH – Capacitação do Comitê")</f>
        <v>10. CBH – Capacitação do Comitê</v>
      </c>
      <c r="B323" s="54">
        <f>IFERROR(__xludf.DUMMYFUNCTION("""COMPUTED_VALUE"""),45218.0)</f>
        <v>45218</v>
      </c>
      <c r="C323" s="48" t="str">
        <f>IFERROR(__xludf.DUMMYFUNCTION("""COMPUTED_VALUE"""),"3")</f>
        <v>3</v>
      </c>
    </row>
    <row r="324">
      <c r="A324" s="48" t="str">
        <f>IFERROR(__xludf.DUMMYFUNCTION("""COMPUTED_VALUE"""),"24. Projetos ou atividades Específicos")</f>
        <v>24. Projetos ou atividades Específicos</v>
      </c>
      <c r="B324" s="54">
        <f>IFERROR(__xludf.DUMMYFUNCTION("""COMPUTED_VALUE"""),45219.0)</f>
        <v>45219</v>
      </c>
      <c r="C324" s="48"/>
    </row>
    <row r="325">
      <c r="A325" s="48" t="str">
        <f>IFERROR(__xludf.DUMMYFUNCTION("""COMPUTED_VALUE"""),"9. CBH – Reunião de Câmara Técnica, Câmara específica ou GT")</f>
        <v>9. CBH – Reunião de Câmara Técnica, Câmara específica ou GT</v>
      </c>
      <c r="B325" s="54">
        <f>IFERROR(__xludf.DUMMYFUNCTION("""COMPUTED_VALUE"""),45222.0)</f>
        <v>45222</v>
      </c>
      <c r="C325" s="48" t="str">
        <f>IFERROR(__xludf.DUMMYFUNCTION("""COMPUTED_VALUE"""),"6")</f>
        <v>6</v>
      </c>
    </row>
    <row r="326">
      <c r="A326" s="48" t="str">
        <f>IFERROR(__xludf.DUMMYFUNCTION("""COMPUTED_VALUE"""),"24. Projetos ou atividades Específicos")</f>
        <v>24. Projetos ou atividades Específicos</v>
      </c>
      <c r="B326" s="54">
        <f>IFERROR(__xludf.DUMMYFUNCTION("""COMPUTED_VALUE"""),45222.0)</f>
        <v>45222</v>
      </c>
      <c r="C326" s="48"/>
    </row>
    <row r="327">
      <c r="A327" s="48" t="str">
        <f>IFERROR(__xludf.DUMMYFUNCTION("""COMPUTED_VALUE"""),"24. Projetos ou atividades Específicos")</f>
        <v>24. Projetos ou atividades Específicos</v>
      </c>
      <c r="B327" s="54">
        <f>IFERROR(__xludf.DUMMYFUNCTION("""COMPUTED_VALUE"""),45222.0)</f>
        <v>45222</v>
      </c>
      <c r="C327" s="48"/>
    </row>
    <row r="328">
      <c r="A328" s="48" t="str">
        <f>IFERROR(__xludf.DUMMYFUNCTION("""COMPUTED_VALUE"""),"24. Projetos ou atividades Específicos")</f>
        <v>24. Projetos ou atividades Específicos</v>
      </c>
      <c r="B328" s="54">
        <f>IFERROR(__xludf.DUMMYFUNCTION("""COMPUTED_VALUE"""),45222.0)</f>
        <v>45222</v>
      </c>
      <c r="C328" s="48"/>
    </row>
    <row r="329">
      <c r="A329" s="48" t="str">
        <f>IFERROR(__xludf.DUMMYFUNCTION("""COMPUTED_VALUE"""),"18. Mobilização Social")</f>
        <v>18. Mobilização Social</v>
      </c>
      <c r="B329" s="54">
        <f>IFERROR(__xludf.DUMMYFUNCTION("""COMPUTED_VALUE"""),45223.0)</f>
        <v>45223</v>
      </c>
      <c r="C329" s="48"/>
    </row>
    <row r="330">
      <c r="A330" s="48" t="str">
        <f>IFERROR(__xludf.DUMMYFUNCTION("""COMPUTED_VALUE"""),"7. CBH – Reunião Extraordinária do Comitê")</f>
        <v>7. CBH – Reunião Extraordinária do Comitê</v>
      </c>
      <c r="B330" s="54">
        <f>IFERROR(__xludf.DUMMYFUNCTION("""COMPUTED_VALUE"""),45224.0)</f>
        <v>45224</v>
      </c>
      <c r="C330" s="48"/>
    </row>
    <row r="331">
      <c r="A331" s="48" t="str">
        <f>IFERROR(__xludf.DUMMYFUNCTION("""COMPUTED_VALUE"""),"24. Projetos ou atividades Específicos")</f>
        <v>24. Projetos ou atividades Específicos</v>
      </c>
      <c r="B331" s="54">
        <f>IFERROR(__xludf.DUMMYFUNCTION("""COMPUTED_VALUE"""),45224.0)</f>
        <v>45224</v>
      </c>
      <c r="C331" s="48"/>
    </row>
    <row r="332">
      <c r="A332" s="48" t="str">
        <f>IFERROR(__xludf.DUMMYFUNCTION("""COMPUTED_VALUE"""),"24. Projetos ou atividades Específicos")</f>
        <v>24. Projetos ou atividades Específicos</v>
      </c>
      <c r="B332" s="54">
        <f>IFERROR(__xludf.DUMMYFUNCTION("""COMPUTED_VALUE"""),45224.0)</f>
        <v>45224</v>
      </c>
      <c r="C332" s="48"/>
    </row>
    <row r="333">
      <c r="A333" s="48" t="str">
        <f>IFERROR(__xludf.DUMMYFUNCTION("""COMPUTED_VALUE"""),"24. Projetos ou atividades Específicos")</f>
        <v>24. Projetos ou atividades Específicos</v>
      </c>
      <c r="B333" s="54">
        <f>IFERROR(__xludf.DUMMYFUNCTION("""COMPUTED_VALUE"""),45225.0)</f>
        <v>45225</v>
      </c>
      <c r="C333" s="48" t="str">
        <f>IFERROR(__xludf.DUMMYFUNCTION("""COMPUTED_VALUE"""),"0")</f>
        <v>0</v>
      </c>
    </row>
    <row r="334">
      <c r="A334" s="48" t="str">
        <f>IFERROR(__xludf.DUMMYFUNCTION("""COMPUTED_VALUE"""),"24. Projetos ou atividades Específicos")</f>
        <v>24. Projetos ou atividades Específicos</v>
      </c>
      <c r="B334" s="54">
        <f>IFERROR(__xludf.DUMMYFUNCTION("""COMPUTED_VALUE"""),45229.0)</f>
        <v>45229</v>
      </c>
      <c r="C334" s="48"/>
    </row>
    <row r="335">
      <c r="A335" s="48" t="str">
        <f>IFERROR(__xludf.DUMMYFUNCTION("""COMPUTED_VALUE"""),"24. Projetos ou atividades Específicos")</f>
        <v>24. Projetos ou atividades Específicos</v>
      </c>
      <c r="B335" s="54">
        <f>IFERROR(__xludf.DUMMYFUNCTION("""COMPUTED_VALUE"""),45229.0)</f>
        <v>45229</v>
      </c>
      <c r="C335" s="48"/>
    </row>
    <row r="336">
      <c r="A336" s="48" t="str">
        <f>IFERROR(__xludf.DUMMYFUNCTION("""COMPUTED_VALUE"""),"24. Projetos ou atividades Específicos")</f>
        <v>24. Projetos ou atividades Específicos</v>
      </c>
      <c r="B336" s="54">
        <f>IFERROR(__xludf.DUMMYFUNCTION("""COMPUTED_VALUE"""),45230.0)</f>
        <v>45230</v>
      </c>
      <c r="C336" s="48"/>
    </row>
    <row r="337">
      <c r="A337" s="48" t="str">
        <f>IFERROR(__xludf.DUMMYFUNCTION("""COMPUTED_VALUE"""),"16. CG – Capacitação da Comissão Gestora")</f>
        <v>16. CG – Capacitação da Comissão Gestora</v>
      </c>
      <c r="B337" s="54">
        <f>IFERROR(__xludf.DUMMYFUNCTION("""COMPUTED_VALUE"""),45230.0)</f>
        <v>45230</v>
      </c>
      <c r="C337" s="48" t="str">
        <f>IFERROR(__xludf.DUMMYFUNCTION("""COMPUTED_VALUE"""),"6")</f>
        <v>6</v>
      </c>
    </row>
    <row r="338">
      <c r="A338" s="48" t="str">
        <f>IFERROR(__xludf.DUMMYFUNCTION("""COMPUTED_VALUE"""),"24. Projetos ou atividades Específicos")</f>
        <v>24. Projetos ou atividades Específicos</v>
      </c>
      <c r="B338" s="54">
        <f>IFERROR(__xludf.DUMMYFUNCTION("""COMPUTED_VALUE"""),45230.0)</f>
        <v>45230</v>
      </c>
      <c r="C338" s="48"/>
    </row>
    <row r="339">
      <c r="A339" s="48" t="str">
        <f>IFERROR(__xludf.DUMMYFUNCTION("""COMPUTED_VALUE"""),"20. Ação de Comunicação / Informação / Capacitação Externa")</f>
        <v>20. Ação de Comunicação / Informação / Capacitação Externa</v>
      </c>
      <c r="B339" s="54">
        <f>IFERROR(__xludf.DUMMYFUNCTION("""COMPUTED_VALUE"""),45230.0)</f>
        <v>45230</v>
      </c>
      <c r="C339" s="48"/>
    </row>
    <row r="340">
      <c r="A340" s="48" t="str">
        <f>IFERROR(__xludf.DUMMYFUNCTION("""COMPUTED_VALUE"""),"20. Ação de Comunicação / Informação / Capacitação Externa")</f>
        <v>20. Ação de Comunicação / Informação / Capacitação Externa</v>
      </c>
      <c r="B340" s="54">
        <f>IFERROR(__xludf.DUMMYFUNCTION("""COMPUTED_VALUE"""),45231.0)</f>
        <v>45231</v>
      </c>
      <c r="C340" s="48"/>
    </row>
    <row r="341">
      <c r="A341" s="48" t="str">
        <f>IFERROR(__xludf.DUMMYFUNCTION("""COMPUTED_VALUE"""),"24. Projetos ou atividades Específicos")</f>
        <v>24. Projetos ou atividades Específicos</v>
      </c>
      <c r="B341" s="54">
        <f>IFERROR(__xludf.DUMMYFUNCTION("""COMPUTED_VALUE"""),45231.0)</f>
        <v>45231</v>
      </c>
      <c r="C341" s="48"/>
    </row>
    <row r="342">
      <c r="A342" s="48" t="str">
        <f>IFERROR(__xludf.DUMMYFUNCTION("""COMPUTED_VALUE"""),"20. Ação de Comunicação / Informação / Capacitação Externa")</f>
        <v>20. Ação de Comunicação / Informação / Capacitação Externa</v>
      </c>
      <c r="B342" s="54">
        <f>IFERROR(__xludf.DUMMYFUNCTION("""COMPUTED_VALUE"""),45231.0)</f>
        <v>45231</v>
      </c>
      <c r="C342" s="48"/>
    </row>
    <row r="343">
      <c r="A343" s="48" t="str">
        <f>IFERROR(__xludf.DUMMYFUNCTION("""COMPUTED_VALUE"""),"26. Outro")</f>
        <v>26. Outro</v>
      </c>
      <c r="B343" s="54">
        <f>IFERROR(__xludf.DUMMYFUNCTION("""COMPUTED_VALUE"""),45231.0)</f>
        <v>45231</v>
      </c>
      <c r="C343" s="48"/>
    </row>
    <row r="344">
      <c r="A344" s="48" t="str">
        <f>IFERROR(__xludf.DUMMYFUNCTION("""COMPUTED_VALUE"""),"18. Mobilização Social")</f>
        <v>18. Mobilização Social</v>
      </c>
      <c r="B344" s="54">
        <f>IFERROR(__xludf.DUMMYFUNCTION("""COMPUTED_VALUE"""),45236.0)</f>
        <v>45236</v>
      </c>
      <c r="C344" s="48" t="str">
        <f>IFERROR(__xludf.DUMMYFUNCTION("""COMPUTED_VALUE"""),"39")</f>
        <v>39</v>
      </c>
    </row>
    <row r="345">
      <c r="A345" s="48" t="str">
        <f>IFERROR(__xludf.DUMMYFUNCTION("""COMPUTED_VALUE"""),"20. Ação de Comunicação / Informação / Capacitação Externa")</f>
        <v>20. Ação de Comunicação / Informação / Capacitação Externa</v>
      </c>
      <c r="B345" s="54">
        <f>IFERROR(__xludf.DUMMYFUNCTION("""COMPUTED_VALUE"""),45236.0)</f>
        <v>45236</v>
      </c>
      <c r="C345" s="48"/>
    </row>
    <row r="346">
      <c r="A346" s="48" t="str">
        <f>IFERROR(__xludf.DUMMYFUNCTION("""COMPUTED_VALUE"""),"20. Ação de Comunicação / Informação / Capacitação Externa")</f>
        <v>20. Ação de Comunicação / Informação / Capacitação Externa</v>
      </c>
      <c r="B346" s="54">
        <f>IFERROR(__xludf.DUMMYFUNCTION("""COMPUTED_VALUE"""),45236.0)</f>
        <v>45236</v>
      </c>
      <c r="C346" s="48"/>
    </row>
    <row r="347">
      <c r="A347" s="48" t="str">
        <f>IFERROR(__xludf.DUMMYFUNCTION("""COMPUTED_VALUE"""),"18. Mobilização Social")</f>
        <v>18. Mobilização Social</v>
      </c>
      <c r="B347" s="54">
        <f>IFERROR(__xludf.DUMMYFUNCTION("""COMPUTED_VALUE"""),45237.0)</f>
        <v>45237</v>
      </c>
      <c r="C347" s="48" t="str">
        <f>IFERROR(__xludf.DUMMYFUNCTION("""COMPUTED_VALUE"""),"4")</f>
        <v>4</v>
      </c>
    </row>
    <row r="348">
      <c r="A348" s="48" t="str">
        <f>IFERROR(__xludf.DUMMYFUNCTION("""COMPUTED_VALUE"""),"24. Projetos ou atividades Específicos")</f>
        <v>24. Projetos ou atividades Específicos</v>
      </c>
      <c r="B348" s="54">
        <f>IFERROR(__xludf.DUMMYFUNCTION("""COMPUTED_VALUE"""),45237.0)</f>
        <v>45237</v>
      </c>
      <c r="C348" s="48"/>
    </row>
    <row r="349">
      <c r="A349" s="48" t="str">
        <f>IFERROR(__xludf.DUMMYFUNCTION("""COMPUTED_VALUE"""),"20. Ação de Comunicação / Informação / Capacitação Externa")</f>
        <v>20. Ação de Comunicação / Informação / Capacitação Externa</v>
      </c>
      <c r="B349" s="54">
        <f>IFERROR(__xludf.DUMMYFUNCTION("""COMPUTED_VALUE"""),45237.0)</f>
        <v>45237</v>
      </c>
      <c r="C349" s="48"/>
    </row>
    <row r="350">
      <c r="A350" s="48" t="str">
        <f>IFERROR(__xludf.DUMMYFUNCTION("""COMPUTED_VALUE"""),"24. Projetos ou atividades Específicos")</f>
        <v>24. Projetos ou atividades Específicos</v>
      </c>
      <c r="B350" s="54">
        <f>IFERROR(__xludf.DUMMYFUNCTION("""COMPUTED_VALUE"""),45237.0)</f>
        <v>45237</v>
      </c>
      <c r="C350" s="48"/>
    </row>
    <row r="351">
      <c r="A351" s="48" t="str">
        <f>IFERROR(__xludf.DUMMYFUNCTION("""COMPUTED_VALUE"""),"20. Ação de Comunicação / Informação / Capacitação Externa")</f>
        <v>20. Ação de Comunicação / Informação / Capacitação Externa</v>
      </c>
      <c r="B351" s="54">
        <f>IFERROR(__xludf.DUMMYFUNCTION("""COMPUTED_VALUE"""),45237.0)</f>
        <v>45237</v>
      </c>
      <c r="C351" s="48"/>
    </row>
    <row r="352">
      <c r="A352" s="48" t="str">
        <f>IFERROR(__xludf.DUMMYFUNCTION("""COMPUTED_VALUE"""),"20. Ação de Comunicação / Informação / Capacitação Externa")</f>
        <v>20. Ação de Comunicação / Informação / Capacitação Externa</v>
      </c>
      <c r="B352" s="54">
        <f>IFERROR(__xludf.DUMMYFUNCTION("""COMPUTED_VALUE"""),45237.0)</f>
        <v>45237</v>
      </c>
      <c r="C352" s="48"/>
    </row>
    <row r="353">
      <c r="A353" s="48" t="str">
        <f>IFERROR(__xludf.DUMMYFUNCTION("""COMPUTED_VALUE"""),"20. Ação de Comunicação / Informação / Capacitação Externa")</f>
        <v>20. Ação de Comunicação / Informação / Capacitação Externa</v>
      </c>
      <c r="B353" s="54">
        <f>IFERROR(__xludf.DUMMYFUNCTION("""COMPUTED_VALUE"""),45237.0)</f>
        <v>45237</v>
      </c>
      <c r="C353" s="48"/>
    </row>
    <row r="354">
      <c r="A354" s="48" t="str">
        <f>IFERROR(__xludf.DUMMYFUNCTION("""COMPUTED_VALUE"""),"26. Outro")</f>
        <v>26. Outro</v>
      </c>
      <c r="B354" s="54">
        <f>IFERROR(__xludf.DUMMYFUNCTION("""COMPUTED_VALUE"""),45237.0)</f>
        <v>45237</v>
      </c>
      <c r="C354" s="48" t="str">
        <f>IFERROR(__xludf.DUMMYFUNCTION("""COMPUTED_VALUE"""),"2")</f>
        <v>2</v>
      </c>
    </row>
    <row r="355">
      <c r="A355" s="48" t="str">
        <f>IFERROR(__xludf.DUMMYFUNCTION("""COMPUTED_VALUE"""),"24. Projetos ou atividades Específicos")</f>
        <v>24. Projetos ou atividades Específicos</v>
      </c>
      <c r="B355" s="54">
        <f>IFERROR(__xludf.DUMMYFUNCTION("""COMPUTED_VALUE"""),45237.0)</f>
        <v>45237</v>
      </c>
      <c r="C355" s="48"/>
    </row>
    <row r="356">
      <c r="A356" s="48" t="str">
        <f>IFERROR(__xludf.DUMMYFUNCTION("""COMPUTED_VALUE"""),"26. Outro")</f>
        <v>26. Outro</v>
      </c>
      <c r="B356" s="54">
        <f>IFERROR(__xludf.DUMMYFUNCTION("""COMPUTED_VALUE"""),45238.0)</f>
        <v>45238</v>
      </c>
      <c r="C356" s="48"/>
    </row>
    <row r="357">
      <c r="A357" s="48" t="str">
        <f>IFERROR(__xludf.DUMMYFUNCTION("""COMPUTED_VALUE"""),"19. Mediação de Conflito")</f>
        <v>19. Mediação de Conflito</v>
      </c>
      <c r="B357" s="54">
        <f>IFERROR(__xludf.DUMMYFUNCTION("""COMPUTED_VALUE"""),45238.0)</f>
        <v>45238</v>
      </c>
      <c r="C357" s="48"/>
    </row>
    <row r="358">
      <c r="A358" s="48" t="str">
        <f>IFERROR(__xludf.DUMMYFUNCTION("""COMPUTED_VALUE"""),"18. Mobilização Social")</f>
        <v>18. Mobilização Social</v>
      </c>
      <c r="B358" s="54">
        <f>IFERROR(__xludf.DUMMYFUNCTION("""COMPUTED_VALUE"""),45239.0)</f>
        <v>45239</v>
      </c>
      <c r="C358" s="48" t="str">
        <f>IFERROR(__xludf.DUMMYFUNCTION("""COMPUTED_VALUE"""),"5")</f>
        <v>5</v>
      </c>
    </row>
    <row r="359">
      <c r="A359" s="48" t="str">
        <f>IFERROR(__xludf.DUMMYFUNCTION("""COMPUTED_VALUE"""),"24. Projetos ou atividades Específicos")</f>
        <v>24. Projetos ou atividades Específicos</v>
      </c>
      <c r="B359" s="54">
        <f>IFERROR(__xludf.DUMMYFUNCTION("""COMPUTED_VALUE"""),45239.0)</f>
        <v>45239</v>
      </c>
      <c r="C359" s="48"/>
    </row>
    <row r="360">
      <c r="A360" s="48" t="str">
        <f>IFERROR(__xludf.DUMMYFUNCTION("""COMPUTED_VALUE"""),"24. Projetos ou atividades Específicos")</f>
        <v>24. Projetos ou atividades Específicos</v>
      </c>
      <c r="B360" s="54">
        <f>IFERROR(__xludf.DUMMYFUNCTION("""COMPUTED_VALUE"""),45240.0)</f>
        <v>45240</v>
      </c>
      <c r="C360" s="48"/>
    </row>
    <row r="361">
      <c r="A361" s="48" t="str">
        <f>IFERROR(__xludf.DUMMYFUNCTION("""COMPUTED_VALUE"""),"18. Mobilização Social")</f>
        <v>18. Mobilização Social</v>
      </c>
      <c r="B361" s="54">
        <f>IFERROR(__xludf.DUMMYFUNCTION("""COMPUTED_VALUE"""),45243.0)</f>
        <v>45243</v>
      </c>
      <c r="C361" s="48"/>
    </row>
    <row r="362">
      <c r="A362" s="48" t="str">
        <f>IFERROR(__xludf.DUMMYFUNCTION("""COMPUTED_VALUE"""),"24. Projetos ou atividades Específicos")</f>
        <v>24. Projetos ou atividades Específicos</v>
      </c>
      <c r="B362" s="54">
        <f>IFERROR(__xludf.DUMMYFUNCTION("""COMPUTED_VALUE"""),45243.0)</f>
        <v>45243</v>
      </c>
      <c r="C362" s="48"/>
    </row>
    <row r="363">
      <c r="A363" s="48" t="str">
        <f>IFERROR(__xludf.DUMMYFUNCTION("""COMPUTED_VALUE"""),"20. Ação de Comunicação / Informação / Capacitação Externa")</f>
        <v>20. Ação de Comunicação / Informação / Capacitação Externa</v>
      </c>
      <c r="B363" s="54">
        <f>IFERROR(__xludf.DUMMYFUNCTION("""COMPUTED_VALUE"""),45243.0)</f>
        <v>45243</v>
      </c>
      <c r="C363" s="48"/>
    </row>
    <row r="364">
      <c r="A364" s="48" t="str">
        <f>IFERROR(__xludf.DUMMYFUNCTION("""COMPUTED_VALUE"""),"20. Ação de Comunicação / Informação / Capacitação Externa")</f>
        <v>20. Ação de Comunicação / Informação / Capacitação Externa</v>
      </c>
      <c r="B364" s="54">
        <f>IFERROR(__xludf.DUMMYFUNCTION("""COMPUTED_VALUE"""),45243.0)</f>
        <v>45243</v>
      </c>
      <c r="C364" s="48"/>
    </row>
    <row r="365">
      <c r="A365" s="48" t="str">
        <f>IFERROR(__xludf.DUMMYFUNCTION("""COMPUTED_VALUE"""),"23. Audiência Pública")</f>
        <v>23. Audiência Pública</v>
      </c>
      <c r="B365" s="54">
        <f>IFERROR(__xludf.DUMMYFUNCTION("""COMPUTED_VALUE"""),45244.0)</f>
        <v>45244</v>
      </c>
      <c r="C365" s="48" t="str">
        <f>IFERROR(__xludf.DUMMYFUNCTION("""COMPUTED_VALUE"""),"2")</f>
        <v>2</v>
      </c>
    </row>
    <row r="366">
      <c r="A366" s="48" t="str">
        <f>IFERROR(__xludf.DUMMYFUNCTION("""COMPUTED_VALUE"""),"24. Projetos ou atividades Específicos")</f>
        <v>24. Projetos ou atividades Específicos</v>
      </c>
      <c r="B366" s="54">
        <f>IFERROR(__xludf.DUMMYFUNCTION("""COMPUTED_VALUE"""),45244.0)</f>
        <v>45244</v>
      </c>
      <c r="C366" s="48" t="str">
        <f>IFERROR(__xludf.DUMMYFUNCTION("""COMPUTED_VALUE"""),"2")</f>
        <v>2</v>
      </c>
    </row>
    <row r="367">
      <c r="A367" s="48" t="str">
        <f>IFERROR(__xludf.DUMMYFUNCTION("""COMPUTED_VALUE"""),"8. CBH – Reunião de Diretoria do CBH")</f>
        <v>8. CBH – Reunião de Diretoria do CBH</v>
      </c>
      <c r="B367" s="54">
        <f>IFERROR(__xludf.DUMMYFUNCTION("""COMPUTED_VALUE"""),45244.0)</f>
        <v>45244</v>
      </c>
      <c r="C367" s="48"/>
    </row>
    <row r="368">
      <c r="A368" s="48" t="str">
        <f>IFERROR(__xludf.DUMMYFUNCTION("""COMPUTED_VALUE"""),"20. Ação de Comunicação / Informação / Capacitação Externa")</f>
        <v>20. Ação de Comunicação / Informação / Capacitação Externa</v>
      </c>
      <c r="B368" s="54">
        <f>IFERROR(__xludf.DUMMYFUNCTION("""COMPUTED_VALUE"""),45244.0)</f>
        <v>45244</v>
      </c>
      <c r="C368" s="48"/>
    </row>
    <row r="369">
      <c r="A369" s="48" t="str">
        <f>IFERROR(__xludf.DUMMYFUNCTION("""COMPUTED_VALUE"""),"24. Projetos ou atividades Específicos")</f>
        <v>24. Projetos ou atividades Específicos</v>
      </c>
      <c r="B369" s="54">
        <f>IFERROR(__xludf.DUMMYFUNCTION("""COMPUTED_VALUE"""),45244.0)</f>
        <v>45244</v>
      </c>
      <c r="C369" s="48"/>
    </row>
    <row r="370">
      <c r="A370" s="48" t="str">
        <f>IFERROR(__xludf.DUMMYFUNCTION("""COMPUTED_VALUE"""),"24. Projetos ou atividades Específicos")</f>
        <v>24. Projetos ou atividades Específicos</v>
      </c>
      <c r="B370" s="54">
        <f>IFERROR(__xludf.DUMMYFUNCTION("""COMPUTED_VALUE"""),45245.0)</f>
        <v>45245</v>
      </c>
      <c r="C370" s="48"/>
    </row>
    <row r="371">
      <c r="A371" s="48" t="str">
        <f>IFERROR(__xludf.DUMMYFUNCTION("""COMPUTED_VALUE"""),"15. CG – Reunião de Comissão Gestora")</f>
        <v>15. CG – Reunião de Comissão Gestora</v>
      </c>
      <c r="B371" s="54">
        <f>IFERROR(__xludf.DUMMYFUNCTION("""COMPUTED_VALUE"""),45246.0)</f>
        <v>45246</v>
      </c>
      <c r="C371" s="48" t="str">
        <f>IFERROR(__xludf.DUMMYFUNCTION("""COMPUTED_VALUE"""),"5")</f>
        <v>5</v>
      </c>
    </row>
    <row r="372">
      <c r="A372" s="48" t="str">
        <f>IFERROR(__xludf.DUMMYFUNCTION("""COMPUTED_VALUE"""),"24. Projetos ou atividades Específicos")</f>
        <v>24. Projetos ou atividades Específicos</v>
      </c>
      <c r="B372" s="54">
        <f>IFERROR(__xludf.DUMMYFUNCTION("""COMPUTED_VALUE"""),45246.0)</f>
        <v>45246</v>
      </c>
      <c r="C372" s="48"/>
    </row>
    <row r="373">
      <c r="A373" s="48" t="str">
        <f>IFERROR(__xludf.DUMMYFUNCTION("""COMPUTED_VALUE"""),"20. Ação de Comunicação / Informação / Capacitação Externa")</f>
        <v>20. Ação de Comunicação / Informação / Capacitação Externa</v>
      </c>
      <c r="B373" s="54">
        <f>IFERROR(__xludf.DUMMYFUNCTION("""COMPUTED_VALUE"""),45246.0)</f>
        <v>45246</v>
      </c>
      <c r="C373" s="48"/>
    </row>
    <row r="374">
      <c r="A374" s="48" t="str">
        <f>IFERROR(__xludf.DUMMYFUNCTION("""COMPUTED_VALUE"""),"20. Ação de Comunicação / Informação / Capacitação Externa")</f>
        <v>20. Ação de Comunicação / Informação / Capacitação Externa</v>
      </c>
      <c r="B374" s="54">
        <f>IFERROR(__xludf.DUMMYFUNCTION("""COMPUTED_VALUE"""),45246.0)</f>
        <v>45246</v>
      </c>
      <c r="C374" s="48"/>
    </row>
    <row r="375">
      <c r="A375" s="48" t="str">
        <f>IFERROR(__xludf.DUMMYFUNCTION("""COMPUTED_VALUE"""),"9. CBH – Reunião de Câmara Técnica, Câmara específica ou GT")</f>
        <v>9. CBH – Reunião de Câmara Técnica, Câmara específica ou GT</v>
      </c>
      <c r="B375" s="54">
        <f>IFERROR(__xludf.DUMMYFUNCTION("""COMPUTED_VALUE"""),45250.0)</f>
        <v>45250</v>
      </c>
      <c r="C375" s="48" t="str">
        <f>IFERROR(__xludf.DUMMYFUNCTION("""COMPUTED_VALUE"""),"5")</f>
        <v>5</v>
      </c>
    </row>
    <row r="376">
      <c r="A376" s="48" t="str">
        <f>IFERROR(__xludf.DUMMYFUNCTION("""COMPUTED_VALUE"""),"20. Ação de Comunicação / Informação / Capacitação Externa")</f>
        <v>20. Ação de Comunicação / Informação / Capacitação Externa</v>
      </c>
      <c r="B376" s="54">
        <f>IFERROR(__xludf.DUMMYFUNCTION("""COMPUTED_VALUE"""),45250.0)</f>
        <v>45250</v>
      </c>
      <c r="C376" s="48"/>
    </row>
    <row r="377">
      <c r="A377" s="48" t="str">
        <f>IFERROR(__xludf.DUMMYFUNCTION("""COMPUTED_VALUE"""),"24. Projetos ou atividades Específicos")</f>
        <v>24. Projetos ou atividades Específicos</v>
      </c>
      <c r="B377" s="54">
        <f>IFERROR(__xludf.DUMMYFUNCTION("""COMPUTED_VALUE"""),45250.0)</f>
        <v>45250</v>
      </c>
      <c r="C377" s="48"/>
    </row>
    <row r="378">
      <c r="A378" s="48" t="str">
        <f>IFERROR(__xludf.DUMMYFUNCTION("""COMPUTED_VALUE"""),"8. CBH – Reunião de Diretoria do CBH")</f>
        <v>8. CBH – Reunião de Diretoria do CBH</v>
      </c>
      <c r="B378" s="54">
        <f>IFERROR(__xludf.DUMMYFUNCTION("""COMPUTED_VALUE"""),45250.0)</f>
        <v>45250</v>
      </c>
      <c r="C378" s="48" t="str">
        <f>IFERROR(__xludf.DUMMYFUNCTION("""COMPUTED_VALUE"""),"4")</f>
        <v>4</v>
      </c>
    </row>
    <row r="379">
      <c r="A379" s="48" t="str">
        <f>IFERROR(__xludf.DUMMYFUNCTION("""COMPUTED_VALUE"""),"20. Ação de Comunicação / Informação / Capacitação Externa")</f>
        <v>20. Ação de Comunicação / Informação / Capacitação Externa</v>
      </c>
      <c r="B379" s="54">
        <f>IFERROR(__xludf.DUMMYFUNCTION("""COMPUTED_VALUE"""),45250.0)</f>
        <v>45250</v>
      </c>
      <c r="C379" s="48"/>
    </row>
    <row r="380">
      <c r="A380" s="48" t="str">
        <f>IFERROR(__xludf.DUMMYFUNCTION("""COMPUTED_VALUE"""),"24. Projetos ou atividades Específicos")</f>
        <v>24. Projetos ou atividades Específicos</v>
      </c>
      <c r="B380" s="54">
        <f>IFERROR(__xludf.DUMMYFUNCTION("""COMPUTED_VALUE"""),45250.0)</f>
        <v>45250</v>
      </c>
      <c r="C380" s="48"/>
    </row>
    <row r="381">
      <c r="A381" s="48" t="str">
        <f>IFERROR(__xludf.DUMMYFUNCTION("""COMPUTED_VALUE"""),"24. Projetos ou atividades Específicos")</f>
        <v>24. Projetos ou atividades Específicos</v>
      </c>
      <c r="B381" s="54">
        <f>IFERROR(__xludf.DUMMYFUNCTION("""COMPUTED_VALUE"""),45250.0)</f>
        <v>45250</v>
      </c>
      <c r="C381" s="48"/>
    </row>
    <row r="382">
      <c r="A382" s="48" t="str">
        <f>IFERROR(__xludf.DUMMYFUNCTION("""COMPUTED_VALUE"""),"24. Projetos ou atividades Específicos")</f>
        <v>24. Projetos ou atividades Específicos</v>
      </c>
      <c r="B382" s="54">
        <f>IFERROR(__xludf.DUMMYFUNCTION("""COMPUTED_VALUE"""),45250.0)</f>
        <v>45250</v>
      </c>
      <c r="C382" s="48"/>
    </row>
    <row r="383">
      <c r="A383" s="48" t="str">
        <f>IFERROR(__xludf.DUMMYFUNCTION("""COMPUTED_VALUE"""),"20. Ação de Comunicação / Informação / Capacitação Externa")</f>
        <v>20. Ação de Comunicação / Informação / Capacitação Externa</v>
      </c>
      <c r="B383" s="54">
        <f>IFERROR(__xludf.DUMMYFUNCTION("""COMPUTED_VALUE"""),45251.0)</f>
        <v>45251</v>
      </c>
      <c r="C383" s="48"/>
    </row>
    <row r="384">
      <c r="A384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384" s="54">
        <f>IFERROR(__xludf.DUMMYFUNCTION("""COMPUTED_VALUE"""),45251.0)</f>
        <v>45251</v>
      </c>
      <c r="C384" s="48"/>
    </row>
    <row r="385">
      <c r="A385" s="48" t="str">
        <f>IFERROR(__xludf.DUMMYFUNCTION("""COMPUTED_VALUE"""),"20. Ação de Comunicação / Informação / Capacitação Externa")</f>
        <v>20. Ação de Comunicação / Informação / Capacitação Externa</v>
      </c>
      <c r="B385" s="54">
        <f>IFERROR(__xludf.DUMMYFUNCTION("""COMPUTED_VALUE"""),45251.0)</f>
        <v>45251</v>
      </c>
      <c r="C385" s="48"/>
    </row>
    <row r="386">
      <c r="A386" s="48" t="str">
        <f>IFERROR(__xludf.DUMMYFUNCTION("""COMPUTED_VALUE"""),"20. Ação de Comunicação / Informação / Capacitação Externa")</f>
        <v>20. Ação de Comunicação / Informação / Capacitação Externa</v>
      </c>
      <c r="B386" s="54">
        <f>IFERROR(__xludf.DUMMYFUNCTION("""COMPUTED_VALUE"""),45252.0)</f>
        <v>45252</v>
      </c>
      <c r="C386" s="48"/>
    </row>
    <row r="387">
      <c r="A387" s="48" t="str">
        <f>IFERROR(__xludf.DUMMYFUNCTION("""COMPUTED_VALUE"""),"26. Outro")</f>
        <v>26. Outro</v>
      </c>
      <c r="B387" s="54">
        <f>IFERROR(__xludf.DUMMYFUNCTION("""COMPUTED_VALUE"""),45252.0)</f>
        <v>45252</v>
      </c>
      <c r="C387" s="48"/>
    </row>
    <row r="388">
      <c r="A388" s="48" t="str">
        <f>IFERROR(__xludf.DUMMYFUNCTION("""COMPUTED_VALUE"""),"7. CBH – Reunião Extraordinária do Comitê")</f>
        <v>7. CBH – Reunião Extraordinária do Comitê</v>
      </c>
      <c r="B388" s="54">
        <f>IFERROR(__xludf.DUMMYFUNCTION("""COMPUTED_VALUE"""),45253.0)</f>
        <v>45253</v>
      </c>
      <c r="C388" s="48" t="str">
        <f>IFERROR(__xludf.DUMMYFUNCTION("""COMPUTED_VALUE"""),"30")</f>
        <v>30</v>
      </c>
    </row>
    <row r="389">
      <c r="A389" s="48" t="str">
        <f>IFERROR(__xludf.DUMMYFUNCTION("""COMPUTED_VALUE"""),"10. CBH – Capacitação do Comitê")</f>
        <v>10. CBH – Capacitação do Comitê</v>
      </c>
      <c r="B389" s="54">
        <f>IFERROR(__xludf.DUMMYFUNCTION("""COMPUTED_VALUE"""),45253.0)</f>
        <v>45253</v>
      </c>
      <c r="C389" s="48" t="str">
        <f>IFERROR(__xludf.DUMMYFUNCTION("""COMPUTED_VALUE"""),"30")</f>
        <v>30</v>
      </c>
    </row>
    <row r="390">
      <c r="A390" s="48" t="str">
        <f>IFERROR(__xludf.DUMMYFUNCTION("""COMPUTED_VALUE"""),"20. Ação de Comunicação / Informação / Capacitação Externa")</f>
        <v>20. Ação de Comunicação / Informação / Capacitação Externa</v>
      </c>
      <c r="B390" s="54">
        <f>IFERROR(__xludf.DUMMYFUNCTION("""COMPUTED_VALUE"""),45253.0)</f>
        <v>45253</v>
      </c>
      <c r="C390" s="48"/>
    </row>
    <row r="391">
      <c r="A391" s="48" t="str">
        <f>IFERROR(__xludf.DUMMYFUNCTION("""COMPUTED_VALUE"""),"24. Projetos ou atividades Específicos")</f>
        <v>24. Projetos ou atividades Específicos</v>
      </c>
      <c r="B391" s="54">
        <f>IFERROR(__xludf.DUMMYFUNCTION("""COMPUTED_VALUE"""),45253.0)</f>
        <v>45253</v>
      </c>
      <c r="C391" s="48" t="str">
        <f>IFERROR(__xludf.DUMMYFUNCTION("""COMPUTED_VALUE"""),"4")</f>
        <v>4</v>
      </c>
    </row>
    <row r="392">
      <c r="A392" s="48" t="str">
        <f>IFERROR(__xludf.DUMMYFUNCTION("""COMPUTED_VALUE"""),"24. Projetos ou atividades Específicos")</f>
        <v>24. Projetos ou atividades Específicos</v>
      </c>
      <c r="B392" s="54">
        <f>IFERROR(__xludf.DUMMYFUNCTION("""COMPUTED_VALUE"""),45257.0)</f>
        <v>45257</v>
      </c>
      <c r="C392" s="48"/>
    </row>
    <row r="393">
      <c r="A393" s="48" t="str">
        <f>IFERROR(__xludf.DUMMYFUNCTION("""COMPUTED_VALUE"""),"20. Ação de Comunicação / Informação / Capacitação Externa")</f>
        <v>20. Ação de Comunicação / Informação / Capacitação Externa</v>
      </c>
      <c r="B393" s="54">
        <f>IFERROR(__xludf.DUMMYFUNCTION("""COMPUTED_VALUE"""),45257.0)</f>
        <v>45257</v>
      </c>
      <c r="C393" s="48"/>
    </row>
    <row r="394">
      <c r="A394" s="48" t="str">
        <f>IFERROR(__xludf.DUMMYFUNCTION("""COMPUTED_VALUE"""),"20. Ação de Comunicação / Informação / Capacitação Externa")</f>
        <v>20. Ação de Comunicação / Informação / Capacitação Externa</v>
      </c>
      <c r="B394" s="54">
        <f>IFERROR(__xludf.DUMMYFUNCTION("""COMPUTED_VALUE"""),45257.0)</f>
        <v>45257</v>
      </c>
      <c r="C394" s="48"/>
    </row>
    <row r="395">
      <c r="A395" s="48" t="str">
        <f>IFERROR(__xludf.DUMMYFUNCTION("""COMPUTED_VALUE"""),"24. Projetos ou atividades Específicos")</f>
        <v>24. Projetos ou atividades Específicos</v>
      </c>
      <c r="B395" s="54">
        <f>IFERROR(__xludf.DUMMYFUNCTION("""COMPUTED_VALUE"""),45257.0)</f>
        <v>45257</v>
      </c>
      <c r="C395" s="48"/>
    </row>
    <row r="396">
      <c r="A396" s="48" t="str">
        <f>IFERROR(__xludf.DUMMYFUNCTION("""COMPUTED_VALUE"""),"20. Ação de Comunicação / Informação / Capacitação Externa")</f>
        <v>20. Ação de Comunicação / Informação / Capacitação Externa</v>
      </c>
      <c r="B396" s="54">
        <f>IFERROR(__xludf.DUMMYFUNCTION("""COMPUTED_VALUE"""),45258.0)</f>
        <v>45258</v>
      </c>
      <c r="C396" s="48"/>
    </row>
    <row r="397">
      <c r="A397" s="48" t="str">
        <f>IFERROR(__xludf.DUMMYFUNCTION("""COMPUTED_VALUE"""),"20. Ação de Comunicação / Informação / Capacitação Externa")</f>
        <v>20. Ação de Comunicação / Informação / Capacitação Externa</v>
      </c>
      <c r="B397" s="54">
        <f>IFERROR(__xludf.DUMMYFUNCTION("""COMPUTED_VALUE"""),45258.0)</f>
        <v>45258</v>
      </c>
      <c r="C397" s="48"/>
    </row>
    <row r="398">
      <c r="A398" s="48" t="str">
        <f>IFERROR(__xludf.DUMMYFUNCTION("""COMPUTED_VALUE"""),"20. Ação de Comunicação / Informação / Capacitação Externa")</f>
        <v>20. Ação de Comunicação / Informação / Capacitação Externa</v>
      </c>
      <c r="B398" s="54">
        <f>IFERROR(__xludf.DUMMYFUNCTION("""COMPUTED_VALUE"""),45258.0)</f>
        <v>45258</v>
      </c>
      <c r="C398" s="48"/>
    </row>
    <row r="399">
      <c r="A399" s="48" t="str">
        <f>IFERROR(__xludf.DUMMYFUNCTION("""COMPUTED_VALUE"""),"24. Projetos ou atividades Específicos")</f>
        <v>24. Projetos ou atividades Específicos</v>
      </c>
      <c r="B399" s="54">
        <f>IFERROR(__xludf.DUMMYFUNCTION("""COMPUTED_VALUE"""),45259.0)</f>
        <v>45259</v>
      </c>
      <c r="C399" s="48"/>
    </row>
    <row r="400">
      <c r="A400" s="48" t="str">
        <f>IFERROR(__xludf.DUMMYFUNCTION("""COMPUTED_VALUE"""),"18. Mobilização Social")</f>
        <v>18. Mobilização Social</v>
      </c>
      <c r="B400" s="54">
        <f>IFERROR(__xludf.DUMMYFUNCTION("""COMPUTED_VALUE"""),45260.0)</f>
        <v>45260</v>
      </c>
      <c r="C400" s="48"/>
    </row>
    <row r="401">
      <c r="A401" s="48" t="str">
        <f>IFERROR(__xludf.DUMMYFUNCTION("""COMPUTED_VALUE"""),"16. CG – Capacitação da Comissão Gestora")</f>
        <v>16. CG – Capacitação da Comissão Gestora</v>
      </c>
      <c r="B401" s="54">
        <f>IFERROR(__xludf.DUMMYFUNCTION("""COMPUTED_VALUE"""),45260.0)</f>
        <v>45260</v>
      </c>
      <c r="C401" s="48" t="str">
        <f>IFERROR(__xludf.DUMMYFUNCTION("""COMPUTED_VALUE"""),"3")</f>
        <v>3</v>
      </c>
    </row>
    <row r="402">
      <c r="A402" s="48" t="str">
        <f>IFERROR(__xludf.DUMMYFUNCTION("""COMPUTED_VALUE"""),"20. Ação de Comunicação / Informação / Capacitação Externa")</f>
        <v>20. Ação de Comunicação / Informação / Capacitação Externa</v>
      </c>
      <c r="B402" s="54">
        <f>IFERROR(__xludf.DUMMYFUNCTION("""COMPUTED_VALUE"""),45261.0)</f>
        <v>45261</v>
      </c>
      <c r="C402" s="48"/>
    </row>
    <row r="403">
      <c r="A403" s="48" t="str">
        <f>IFERROR(__xludf.DUMMYFUNCTION("""COMPUTED_VALUE"""),"18. Mobilização Social")</f>
        <v>18. Mobilização Social</v>
      </c>
      <c r="B403" s="54">
        <f>IFERROR(__xludf.DUMMYFUNCTION("""COMPUTED_VALUE"""),45261.0)</f>
        <v>45261</v>
      </c>
      <c r="C403" s="48"/>
    </row>
    <row r="404">
      <c r="A404" s="48" t="str">
        <f>IFERROR(__xludf.DUMMYFUNCTION("""COMPUTED_VALUE"""),"24. Projetos ou atividades Específicos")</f>
        <v>24. Projetos ou atividades Específicos</v>
      </c>
      <c r="B404" s="54">
        <f>IFERROR(__xludf.DUMMYFUNCTION("""COMPUTED_VALUE"""),45264.0)</f>
        <v>45264</v>
      </c>
      <c r="C404" s="48"/>
    </row>
    <row r="405">
      <c r="A405" s="48" t="str">
        <f>IFERROR(__xludf.DUMMYFUNCTION("""COMPUTED_VALUE"""),"20. Ação de Comunicação / Informação / Capacitação Externa")</f>
        <v>20. Ação de Comunicação / Informação / Capacitação Externa</v>
      </c>
      <c r="B405" s="54">
        <f>IFERROR(__xludf.DUMMYFUNCTION("""COMPUTED_VALUE"""),45264.0)</f>
        <v>45264</v>
      </c>
      <c r="C405" s="48"/>
    </row>
    <row r="406">
      <c r="A406" s="48" t="str">
        <f>IFERROR(__xludf.DUMMYFUNCTION("""COMPUTED_VALUE"""),"18. Mobilização Social")</f>
        <v>18. Mobilização Social</v>
      </c>
      <c r="B406" s="54">
        <f>IFERROR(__xludf.DUMMYFUNCTION("""COMPUTED_VALUE"""),45266.0)</f>
        <v>45266</v>
      </c>
      <c r="C406" s="48"/>
    </row>
    <row r="407">
      <c r="A407" s="48" t="str">
        <f>IFERROR(__xludf.DUMMYFUNCTION("""COMPUTED_VALUE"""),"20. Ação de Comunicação / Informação / Capacitação Externa")</f>
        <v>20. Ação de Comunicação / Informação / Capacitação Externa</v>
      </c>
      <c r="B407" s="54">
        <f>IFERROR(__xludf.DUMMYFUNCTION("""COMPUTED_VALUE"""),45268.0)</f>
        <v>45268</v>
      </c>
      <c r="C407" s="48"/>
    </row>
    <row r="408">
      <c r="A408" s="48" t="str">
        <f>IFERROR(__xludf.DUMMYFUNCTION("""COMPUTED_VALUE"""),"20. Ação de Comunicação / Informação / Capacitação Externa")</f>
        <v>20. Ação de Comunicação / Informação / Capacitação Externa</v>
      </c>
      <c r="B408" s="54">
        <f>IFERROR(__xludf.DUMMYFUNCTION("""COMPUTED_VALUE"""),45271.0)</f>
        <v>45271</v>
      </c>
      <c r="C408" s="48"/>
    </row>
    <row r="409">
      <c r="A409" s="48" t="str">
        <f>IFERROR(__xludf.DUMMYFUNCTION("""COMPUTED_VALUE"""),"26. Outro")</f>
        <v>26. Outro</v>
      </c>
      <c r="B409" s="54">
        <f>IFERROR(__xludf.DUMMYFUNCTION("""COMPUTED_VALUE"""),45272.0)</f>
        <v>45272</v>
      </c>
      <c r="C409" s="48"/>
    </row>
    <row r="410">
      <c r="A410" s="48" t="str">
        <f>IFERROR(__xludf.DUMMYFUNCTION("""COMPUTED_VALUE"""),"6. CBH – Reunião Ordinária do Comitê")</f>
        <v>6. CBH – Reunião Ordinária do Comitê</v>
      </c>
      <c r="B410" s="54">
        <f>IFERROR(__xludf.DUMMYFUNCTION("""COMPUTED_VALUE"""),45274.0)</f>
        <v>45274</v>
      </c>
      <c r="C410" s="48" t="str">
        <f>IFERROR(__xludf.DUMMYFUNCTION("""COMPUTED_VALUE"""),"30")</f>
        <v>30</v>
      </c>
    </row>
    <row r="411">
      <c r="A411" s="48" t="str">
        <f>IFERROR(__xludf.DUMMYFUNCTION("""COMPUTED_VALUE"""),"20. Ação de Comunicação / Informação / Capacitação Externa")</f>
        <v>20. Ação de Comunicação / Informação / Capacitação Externa</v>
      </c>
      <c r="B411" s="54">
        <f>IFERROR(__xludf.DUMMYFUNCTION("""COMPUTED_VALUE"""),45274.0)</f>
        <v>45274</v>
      </c>
      <c r="C411" s="48"/>
    </row>
    <row r="412">
      <c r="A412" s="48" t="str">
        <f>IFERROR(__xludf.DUMMYFUNCTION("""COMPUTED_VALUE"""),"20. Ação de Comunicação / Informação / Capacitação Externa")</f>
        <v>20. Ação de Comunicação / Informação / Capacitação Externa</v>
      </c>
      <c r="B412" s="54">
        <f>IFERROR(__xludf.DUMMYFUNCTION("""COMPUTED_VALUE"""),45275.0)</f>
        <v>45275</v>
      </c>
      <c r="C412" s="48"/>
    </row>
    <row r="413">
      <c r="A413" s="48" t="str">
        <f>IFERROR(__xludf.DUMMYFUNCTION("""COMPUTED_VALUE"""),"24. Projetos ou atividades Específicos")</f>
        <v>24. Projetos ou atividades Específicos</v>
      </c>
      <c r="B413" s="54">
        <f>IFERROR(__xludf.DUMMYFUNCTION("""COMPUTED_VALUE"""),45275.0)</f>
        <v>45275</v>
      </c>
      <c r="C413" s="48"/>
    </row>
    <row r="414">
      <c r="A414" s="48" t="str">
        <f>IFERROR(__xludf.DUMMYFUNCTION("""COMPUTED_VALUE"""),"12. CBH – Reunião do Fórum Cearense de Comitê")</f>
        <v>12. CBH – Reunião do Fórum Cearense de Comitê</v>
      </c>
      <c r="B414" s="54">
        <f>IFERROR(__xludf.DUMMYFUNCTION("""COMPUTED_VALUE"""),45279.0)</f>
        <v>45279</v>
      </c>
      <c r="C414" s="48" t="str">
        <f>IFERROR(__xludf.DUMMYFUNCTION("""COMPUTED_VALUE"""),"3")</f>
        <v>3</v>
      </c>
    </row>
    <row r="415">
      <c r="A415" s="48" t="str">
        <f>IFERROR(__xludf.DUMMYFUNCTION("""COMPUTED_VALUE"""),"20. Ação de Comunicação / Informação / Capacitação Externa")</f>
        <v>20. Ação de Comunicação / Informação / Capacitação Externa</v>
      </c>
      <c r="B415" s="54">
        <f>IFERROR(__xludf.DUMMYFUNCTION("""COMPUTED_VALUE"""),45279.0)</f>
        <v>45279</v>
      </c>
      <c r="C415" s="48"/>
    </row>
    <row r="416">
      <c r="A416" s="48" t="str">
        <f>IFERROR(__xludf.DUMMYFUNCTION("""COMPUTED_VALUE"""),"10. CBH – Capacitação do Comitê")</f>
        <v>10. CBH – Capacitação do Comitê</v>
      </c>
      <c r="B416" s="54">
        <f>IFERROR(__xludf.DUMMYFUNCTION("""COMPUTED_VALUE"""),45279.0)</f>
        <v>45279</v>
      </c>
      <c r="C416" s="48" t="str">
        <f>IFERROR(__xludf.DUMMYFUNCTION("""COMPUTED_VALUE"""),"4")</f>
        <v>4</v>
      </c>
    </row>
    <row r="417">
      <c r="A417" s="48" t="str">
        <f>IFERROR(__xludf.DUMMYFUNCTION("""COMPUTED_VALUE"""),"16. CG – Capacitação da Comissão Gestora")</f>
        <v>16. CG – Capacitação da Comissão Gestora</v>
      </c>
      <c r="B417" s="54">
        <f>IFERROR(__xludf.DUMMYFUNCTION("""COMPUTED_VALUE"""),45281.0)</f>
        <v>45281</v>
      </c>
      <c r="C417" s="48"/>
    </row>
    <row r="418">
      <c r="A418" s="48" t="str">
        <f>IFERROR(__xludf.DUMMYFUNCTION("""COMPUTED_VALUE"""),"20. Ação de Comunicação / Informação / Capacitação Externa")</f>
        <v>20. Ação de Comunicação / Informação / Capacitação Externa</v>
      </c>
      <c r="B418" s="54">
        <f>IFERROR(__xludf.DUMMYFUNCTION("""COMPUTED_VALUE"""),45284.0)</f>
        <v>45284</v>
      </c>
      <c r="C418" s="48" t="str">
        <f>IFERROR(__xludf.DUMMYFUNCTION("""COMPUTED_VALUE"""),"1")</f>
        <v>1</v>
      </c>
    </row>
    <row r="419">
      <c r="A419" s="48" t="str">
        <f>IFERROR(__xludf.DUMMYFUNCTION("""COMPUTED_VALUE"""),"18. Mobilização Social")</f>
        <v>18. Mobilização Social</v>
      </c>
      <c r="B419" s="54">
        <f>IFERROR(__xludf.DUMMYFUNCTION("""COMPUTED_VALUE"""),45287.0)</f>
        <v>45287</v>
      </c>
      <c r="C419" s="48" t="str">
        <f>IFERROR(__xludf.DUMMYFUNCTION("""COMPUTED_VALUE"""),"5")</f>
        <v>5</v>
      </c>
    </row>
    <row r="420">
      <c r="A420" s="48" t="str">
        <f>IFERROR(__xludf.DUMMYFUNCTION("""COMPUTED_VALUE"""),"20. Ação de Comunicação / Informação / Capacitação Externa")</f>
        <v>20. Ação de Comunicação / Informação / Capacitação Externa</v>
      </c>
      <c r="B420" s="54">
        <f>IFERROR(__xludf.DUMMYFUNCTION("""COMPUTED_VALUE"""),45291.0)</f>
        <v>45291</v>
      </c>
      <c r="C420" s="48"/>
    </row>
    <row r="421">
      <c r="A421" s="48"/>
      <c r="B421" s="54"/>
      <c r="C421" s="48"/>
    </row>
    <row r="422">
      <c r="A422" s="48" t="str">
        <f>IFERROR(__xludf.DUMMYFUNCTION("""COMPUTED_VALUE"""),"26. Outro")</f>
        <v>26. Outro</v>
      </c>
      <c r="B422" s="54">
        <f>IFERROR(__xludf.DUMMYFUNCTION("""COMPUTED_VALUE"""),45293.0)</f>
        <v>45293</v>
      </c>
      <c r="C422" s="48"/>
    </row>
    <row r="423">
      <c r="A423" s="48" t="str">
        <f>IFERROR(__xludf.DUMMYFUNCTION("""COMPUTED_VALUE"""),"20. Ação de Comunicação / Informação / Capacitação Externa")</f>
        <v>20. Ação de Comunicação / Informação / Capacitação Externa</v>
      </c>
      <c r="B423" s="54">
        <f>IFERROR(__xludf.DUMMYFUNCTION("""COMPUTED_VALUE"""),45293.0)</f>
        <v>45293</v>
      </c>
      <c r="C423" s="48" t="str">
        <f>IFERROR(__xludf.DUMMYFUNCTION("""COMPUTED_VALUE"""),"1")</f>
        <v>1</v>
      </c>
    </row>
    <row r="424">
      <c r="A424" s="48" t="str">
        <f>IFERROR(__xludf.DUMMYFUNCTION("""COMPUTED_VALUE"""),"18. Mobilização Social")</f>
        <v>18. Mobilização Social</v>
      </c>
      <c r="B424" s="54">
        <f>IFERROR(__xludf.DUMMYFUNCTION("""COMPUTED_VALUE"""),45293.0)</f>
        <v>45293</v>
      </c>
      <c r="C424" s="48" t="str">
        <f>IFERROR(__xludf.DUMMYFUNCTION("""COMPUTED_VALUE"""),"5")</f>
        <v>5</v>
      </c>
    </row>
    <row r="425">
      <c r="A425" s="48" t="str">
        <f>IFERROR(__xludf.DUMMYFUNCTION("""COMPUTED_VALUE"""),"26. Outro")</f>
        <v>26. Outro</v>
      </c>
      <c r="B425" s="54">
        <f>IFERROR(__xludf.DUMMYFUNCTION("""COMPUTED_VALUE"""),45293.0)</f>
        <v>45293</v>
      </c>
      <c r="C425" s="48"/>
    </row>
    <row r="426">
      <c r="A426" s="48" t="str">
        <f>IFERROR(__xludf.DUMMYFUNCTION("""COMPUTED_VALUE"""),"26. Outro")</f>
        <v>26. Outro</v>
      </c>
      <c r="B426" s="54">
        <f>IFERROR(__xludf.DUMMYFUNCTION("""COMPUTED_VALUE"""),45294.0)</f>
        <v>45294</v>
      </c>
      <c r="C426" s="48"/>
    </row>
    <row r="427">
      <c r="A427" s="48" t="str">
        <f>IFERROR(__xludf.DUMMYFUNCTION("""COMPUTED_VALUE"""),"20. Ação de Comunicação / Informação / Capacitação Externa")</f>
        <v>20. Ação de Comunicação / Informação / Capacitação Externa</v>
      </c>
      <c r="B427" s="54">
        <f>IFERROR(__xludf.DUMMYFUNCTION("""COMPUTED_VALUE"""),45294.0)</f>
        <v>45294</v>
      </c>
      <c r="C427" s="48" t="str">
        <f>IFERROR(__xludf.DUMMYFUNCTION("""COMPUTED_VALUE"""),"10")</f>
        <v>10</v>
      </c>
    </row>
    <row r="428">
      <c r="A428" s="48" t="str">
        <f>IFERROR(__xludf.DUMMYFUNCTION("""COMPUTED_VALUE"""),"8. CBH – Reunião de Diretoria do CBH")</f>
        <v>8. CBH – Reunião de Diretoria do CBH</v>
      </c>
      <c r="B428" s="54">
        <f>IFERROR(__xludf.DUMMYFUNCTION("""COMPUTED_VALUE"""),45295.0)</f>
        <v>45295</v>
      </c>
      <c r="C428" s="48" t="str">
        <f>IFERROR(__xludf.DUMMYFUNCTION("""COMPUTED_VALUE"""),"4")</f>
        <v>4</v>
      </c>
    </row>
    <row r="429">
      <c r="A429" s="48" t="str">
        <f>IFERROR(__xludf.DUMMYFUNCTION("""COMPUTED_VALUE"""),"20. Ação de Comunicação / Informação / Capacitação Externa")</f>
        <v>20. Ação de Comunicação / Informação / Capacitação Externa</v>
      </c>
      <c r="B429" s="54">
        <f>IFERROR(__xludf.DUMMYFUNCTION("""COMPUTED_VALUE"""),45295.0)</f>
        <v>45295</v>
      </c>
      <c r="C429" s="48"/>
    </row>
    <row r="430">
      <c r="A430" s="48" t="str">
        <f>IFERROR(__xludf.DUMMYFUNCTION("""COMPUTED_VALUE"""),"20. Ação de Comunicação / Informação / Capacitação Externa")</f>
        <v>20. Ação de Comunicação / Informação / Capacitação Externa</v>
      </c>
      <c r="B430" s="54">
        <f>IFERROR(__xludf.DUMMYFUNCTION("""COMPUTED_VALUE"""),45295.0)</f>
        <v>45295</v>
      </c>
      <c r="C430" s="48"/>
    </row>
    <row r="431">
      <c r="A431" s="48" t="str">
        <f>IFERROR(__xludf.DUMMYFUNCTION("""COMPUTED_VALUE"""),"26. Outro")</f>
        <v>26. Outro</v>
      </c>
      <c r="B431" s="54">
        <f>IFERROR(__xludf.DUMMYFUNCTION("""COMPUTED_VALUE"""),45295.0)</f>
        <v>45295</v>
      </c>
      <c r="C431" s="48"/>
    </row>
    <row r="432">
      <c r="A432" s="48" t="str">
        <f>IFERROR(__xludf.DUMMYFUNCTION("""COMPUTED_VALUE"""),"26. Outro")</f>
        <v>26. Outro</v>
      </c>
      <c r="B432" s="54">
        <f>IFERROR(__xludf.DUMMYFUNCTION("""COMPUTED_VALUE"""),45296.0)</f>
        <v>45296</v>
      </c>
      <c r="C432" s="48"/>
    </row>
    <row r="433">
      <c r="A433" s="48" t="str">
        <f>IFERROR(__xludf.DUMMYFUNCTION("""COMPUTED_VALUE"""),"20. Ação de Comunicação / Informação / Capacitação Externa")</f>
        <v>20. Ação de Comunicação / Informação / Capacitação Externa</v>
      </c>
      <c r="B433" s="54">
        <f>IFERROR(__xludf.DUMMYFUNCTION("""COMPUTED_VALUE"""),45299.0)</f>
        <v>45299</v>
      </c>
      <c r="C433" s="48" t="str">
        <f>IFERROR(__xludf.DUMMYFUNCTION("""COMPUTED_VALUE"""),"0")</f>
        <v>0</v>
      </c>
    </row>
    <row r="434">
      <c r="A434" s="48" t="str">
        <f>IFERROR(__xludf.DUMMYFUNCTION("""COMPUTED_VALUE"""),"24. Projetos ou atividades Específicos")</f>
        <v>24. Projetos ou atividades Específicos</v>
      </c>
      <c r="B434" s="54">
        <f>IFERROR(__xludf.DUMMYFUNCTION("""COMPUTED_VALUE"""),45299.0)</f>
        <v>45299</v>
      </c>
      <c r="C434" s="48" t="str">
        <f>IFERROR(__xludf.DUMMYFUNCTION("""COMPUTED_VALUE"""),"0")</f>
        <v>0</v>
      </c>
    </row>
    <row r="435">
      <c r="A435" s="48" t="str">
        <f>IFERROR(__xludf.DUMMYFUNCTION("""COMPUTED_VALUE"""),"24. Projetos ou atividades Específicos")</f>
        <v>24. Projetos ou atividades Específicos</v>
      </c>
      <c r="B435" s="54">
        <f>IFERROR(__xludf.DUMMYFUNCTION("""COMPUTED_VALUE"""),45299.0)</f>
        <v>45299</v>
      </c>
      <c r="C435" s="48" t="str">
        <f>IFERROR(__xludf.DUMMYFUNCTION("""COMPUTED_VALUE"""),"2")</f>
        <v>2</v>
      </c>
    </row>
    <row r="436">
      <c r="A436" s="48" t="str">
        <f>IFERROR(__xludf.DUMMYFUNCTION("""COMPUTED_VALUE"""),"20. Ação de Comunicação / Informação / Capacitação Externa")</f>
        <v>20. Ação de Comunicação / Informação / Capacitação Externa</v>
      </c>
      <c r="B436" s="54">
        <f>IFERROR(__xludf.DUMMYFUNCTION("""COMPUTED_VALUE"""),45299.0)</f>
        <v>45299</v>
      </c>
      <c r="C436" s="48" t="str">
        <f>IFERROR(__xludf.DUMMYFUNCTION("""COMPUTED_VALUE"""),"0")</f>
        <v>0</v>
      </c>
    </row>
    <row r="437">
      <c r="A437" s="48" t="str">
        <f>IFERROR(__xludf.DUMMYFUNCTION("""COMPUTED_VALUE"""),"25. Atividade Relacinada a Cobrança/Faturamento")</f>
        <v>25. Atividade Relacinada a Cobrança/Faturamento</v>
      </c>
      <c r="B437" s="54">
        <f>IFERROR(__xludf.DUMMYFUNCTION("""COMPUTED_VALUE"""),45299.0)</f>
        <v>45299</v>
      </c>
      <c r="C437" s="48"/>
    </row>
    <row r="438">
      <c r="A438" s="48" t="str">
        <f>IFERROR(__xludf.DUMMYFUNCTION("""COMPUTED_VALUE"""),"24. Projetos ou atividades Específicos")</f>
        <v>24. Projetos ou atividades Específicos</v>
      </c>
      <c r="B438" s="54">
        <f>IFERROR(__xludf.DUMMYFUNCTION("""COMPUTED_VALUE"""),45299.0)</f>
        <v>45299</v>
      </c>
      <c r="C438" s="48"/>
    </row>
    <row r="439">
      <c r="A439" s="48" t="str">
        <f>IFERROR(__xludf.DUMMYFUNCTION("""COMPUTED_VALUE"""),"24. Projetos ou atividades Específicos")</f>
        <v>24. Projetos ou atividades Específicos</v>
      </c>
      <c r="B439" s="54">
        <f>IFERROR(__xludf.DUMMYFUNCTION("""COMPUTED_VALUE"""),45299.0)</f>
        <v>45299</v>
      </c>
      <c r="C439" s="48"/>
    </row>
    <row r="440">
      <c r="A440" s="48" t="str">
        <f>IFERROR(__xludf.DUMMYFUNCTION("""COMPUTED_VALUE"""),"25. Atividade Relacinada a Cobrança/Faturamento")</f>
        <v>25. Atividade Relacinada a Cobrança/Faturamento</v>
      </c>
      <c r="B440" s="54">
        <f>IFERROR(__xludf.DUMMYFUNCTION("""COMPUTED_VALUE"""),45300.0)</f>
        <v>45300</v>
      </c>
      <c r="C440" s="48"/>
    </row>
    <row r="441">
      <c r="A441" s="48" t="str">
        <f>IFERROR(__xludf.DUMMYFUNCTION("""COMPUTED_VALUE"""),"26. Outro")</f>
        <v>26. Outro</v>
      </c>
      <c r="B441" s="54">
        <f>IFERROR(__xludf.DUMMYFUNCTION("""COMPUTED_VALUE"""),45300.0)</f>
        <v>45300</v>
      </c>
      <c r="C441" s="48"/>
    </row>
    <row r="442">
      <c r="A442" s="48" t="str">
        <f>IFERROR(__xludf.DUMMYFUNCTION("""COMPUTED_VALUE"""),"24. Projetos ou atividades Específicos")</f>
        <v>24. Projetos ou atividades Específicos</v>
      </c>
      <c r="B442" s="54">
        <f>IFERROR(__xludf.DUMMYFUNCTION("""COMPUTED_VALUE"""),45300.0)</f>
        <v>45300</v>
      </c>
      <c r="C442" s="48"/>
    </row>
    <row r="443">
      <c r="A443" s="48" t="str">
        <f>IFERROR(__xludf.DUMMYFUNCTION("""COMPUTED_VALUE"""),"20. Ação de Comunicação / Informação / Capacitação Externa")</f>
        <v>20. Ação de Comunicação / Informação / Capacitação Externa</v>
      </c>
      <c r="B443" s="54">
        <f>IFERROR(__xludf.DUMMYFUNCTION("""COMPUTED_VALUE"""),45300.0)</f>
        <v>45300</v>
      </c>
      <c r="C443" s="48"/>
    </row>
    <row r="444">
      <c r="A444" s="48" t="str">
        <f>IFERROR(__xludf.DUMMYFUNCTION("""COMPUTED_VALUE"""),"25. Atividade Relacinada a Cobrança/Faturamento")</f>
        <v>25. Atividade Relacinada a Cobrança/Faturamento</v>
      </c>
      <c r="B444" s="54">
        <f>IFERROR(__xludf.DUMMYFUNCTION("""COMPUTED_VALUE"""),45301.0)</f>
        <v>45301</v>
      </c>
      <c r="C444" s="48" t="str">
        <f>IFERROR(__xludf.DUMMYFUNCTION("""COMPUTED_VALUE"""),"0")</f>
        <v>0</v>
      </c>
    </row>
    <row r="445">
      <c r="A445" s="48" t="str">
        <f>IFERROR(__xludf.DUMMYFUNCTION("""COMPUTED_VALUE"""),"24. Projetos ou atividades Específicos")</f>
        <v>24. Projetos ou atividades Específicos</v>
      </c>
      <c r="B445" s="54">
        <f>IFERROR(__xludf.DUMMYFUNCTION("""COMPUTED_VALUE"""),45301.0)</f>
        <v>45301</v>
      </c>
      <c r="C445" s="48" t="str">
        <f>IFERROR(__xludf.DUMMYFUNCTION("""COMPUTED_VALUE"""),"0")</f>
        <v>0</v>
      </c>
    </row>
    <row r="446">
      <c r="A446" s="48" t="str">
        <f>IFERROR(__xludf.DUMMYFUNCTION("""COMPUTED_VALUE"""),"24. Projetos ou atividades Específicos")</f>
        <v>24. Projetos ou atividades Específicos</v>
      </c>
      <c r="B446" s="54">
        <f>IFERROR(__xludf.DUMMYFUNCTION("""COMPUTED_VALUE"""),45301.0)</f>
        <v>45301</v>
      </c>
      <c r="C446" s="48"/>
    </row>
    <row r="447">
      <c r="A447" s="48" t="str">
        <f>IFERROR(__xludf.DUMMYFUNCTION("""COMPUTED_VALUE"""),"26. Outro")</f>
        <v>26. Outro</v>
      </c>
      <c r="B447" s="54">
        <f>IFERROR(__xludf.DUMMYFUNCTION("""COMPUTED_VALUE"""),45301.0)</f>
        <v>45301</v>
      </c>
      <c r="C447" s="48"/>
    </row>
    <row r="448">
      <c r="A448" s="48" t="str">
        <f>IFERROR(__xludf.DUMMYFUNCTION("""COMPUTED_VALUE"""),"18. Mobilização Social")</f>
        <v>18. Mobilização Social</v>
      </c>
      <c r="B448" s="54">
        <f>IFERROR(__xludf.DUMMYFUNCTION("""COMPUTED_VALUE"""),45301.0)</f>
        <v>45301</v>
      </c>
      <c r="C448" s="48"/>
    </row>
    <row r="449">
      <c r="A449" s="48" t="str">
        <f>IFERROR(__xludf.DUMMYFUNCTION("""COMPUTED_VALUE"""),"24. Projetos ou atividades Específicos")</f>
        <v>24. Projetos ou atividades Específicos</v>
      </c>
      <c r="B449" s="54">
        <f>IFERROR(__xludf.DUMMYFUNCTION("""COMPUTED_VALUE"""),45301.0)</f>
        <v>45301</v>
      </c>
      <c r="C449" s="48"/>
    </row>
    <row r="450">
      <c r="A450" s="48" t="str">
        <f>IFERROR(__xludf.DUMMYFUNCTION("""COMPUTED_VALUE"""),"24. Projetos ou atividades Específicos")</f>
        <v>24. Projetos ou atividades Específicos</v>
      </c>
      <c r="B450" s="54">
        <f>IFERROR(__xludf.DUMMYFUNCTION("""COMPUTED_VALUE"""),45302.0)</f>
        <v>45302</v>
      </c>
      <c r="C450" s="48" t="str">
        <f>IFERROR(__xludf.DUMMYFUNCTION("""COMPUTED_VALUE"""),"0")</f>
        <v>0</v>
      </c>
    </row>
    <row r="451">
      <c r="A451" s="48" t="str">
        <f>IFERROR(__xludf.DUMMYFUNCTION("""COMPUTED_VALUE"""),"26. Outro")</f>
        <v>26. Outro</v>
      </c>
      <c r="B451" s="54">
        <f>IFERROR(__xludf.DUMMYFUNCTION("""COMPUTED_VALUE"""),45303.0)</f>
        <v>45303</v>
      </c>
      <c r="C451" s="48" t="str">
        <f>IFERROR(__xludf.DUMMYFUNCTION("""COMPUTED_VALUE"""),"0")</f>
        <v>0</v>
      </c>
    </row>
    <row r="452">
      <c r="A452" s="48" t="str">
        <f>IFERROR(__xludf.DUMMYFUNCTION("""COMPUTED_VALUE"""),"20. Ação de Comunicação / Informação / Capacitação Externa")</f>
        <v>20. Ação de Comunicação / Informação / Capacitação Externa</v>
      </c>
      <c r="B452" s="54">
        <f>IFERROR(__xludf.DUMMYFUNCTION("""COMPUTED_VALUE"""),45303.0)</f>
        <v>45303</v>
      </c>
      <c r="C452" s="48"/>
    </row>
    <row r="453">
      <c r="A453" s="48" t="str">
        <f>IFERROR(__xludf.DUMMYFUNCTION("""COMPUTED_VALUE"""),"9. CBH – Reunião de Câmara Técnica, Câmara específica ou GT")</f>
        <v>9. CBH – Reunião de Câmara Técnica, Câmara específica ou GT</v>
      </c>
      <c r="B453" s="54">
        <f>IFERROR(__xludf.DUMMYFUNCTION("""COMPUTED_VALUE"""),45306.0)</f>
        <v>45306</v>
      </c>
      <c r="C453" s="48"/>
    </row>
    <row r="454">
      <c r="A454" s="48" t="str">
        <f>IFERROR(__xludf.DUMMYFUNCTION("""COMPUTED_VALUE"""),"24. Projetos ou atividades Específicos")</f>
        <v>24. Projetos ou atividades Específicos</v>
      </c>
      <c r="B454" s="54">
        <f>IFERROR(__xludf.DUMMYFUNCTION("""COMPUTED_VALUE"""),45306.0)</f>
        <v>45306</v>
      </c>
      <c r="C454" s="48"/>
    </row>
    <row r="455">
      <c r="A455" s="48" t="str">
        <f>IFERROR(__xludf.DUMMYFUNCTION("""COMPUTED_VALUE"""),"24. Projetos ou atividades Específicos")</f>
        <v>24. Projetos ou atividades Específicos</v>
      </c>
      <c r="B455" s="54">
        <f>IFERROR(__xludf.DUMMYFUNCTION("""COMPUTED_VALUE"""),45306.0)</f>
        <v>45306</v>
      </c>
      <c r="C455" s="48" t="str">
        <f>IFERROR(__xludf.DUMMYFUNCTION("""COMPUTED_VALUE"""),"0")</f>
        <v>0</v>
      </c>
    </row>
    <row r="456">
      <c r="A456" s="48" t="str">
        <f>IFERROR(__xludf.DUMMYFUNCTION("""COMPUTED_VALUE"""),"24. Projetos ou atividades Específicos")</f>
        <v>24. Projetos ou atividades Específicos</v>
      </c>
      <c r="B456" s="54">
        <f>IFERROR(__xludf.DUMMYFUNCTION("""COMPUTED_VALUE"""),45307.0)</f>
        <v>45307</v>
      </c>
      <c r="C456" s="48" t="str">
        <f>IFERROR(__xludf.DUMMYFUNCTION("""COMPUTED_VALUE"""),"0")</f>
        <v>0</v>
      </c>
    </row>
    <row r="457">
      <c r="A457" s="48" t="str">
        <f>IFERROR(__xludf.DUMMYFUNCTION("""COMPUTED_VALUE"""),"17. CG – Apoio à Formação de CG nos reservatórios (e renovação)")</f>
        <v>17. CG – Apoio à Formação de CG nos reservatórios (e renovação)</v>
      </c>
      <c r="B457" s="54">
        <f>IFERROR(__xludf.DUMMYFUNCTION("""COMPUTED_VALUE"""),45308.0)</f>
        <v>45308</v>
      </c>
      <c r="C457" s="48" t="str">
        <f>IFERROR(__xludf.DUMMYFUNCTION("""COMPUTED_VALUE"""),"0")</f>
        <v>0</v>
      </c>
    </row>
    <row r="458">
      <c r="A458" s="48" t="str">
        <f>IFERROR(__xludf.DUMMYFUNCTION("""COMPUTED_VALUE"""),"20. Ação de Comunicação / Informação / Capacitação Externa")</f>
        <v>20. Ação de Comunicação / Informação / Capacitação Externa</v>
      </c>
      <c r="B458" s="54">
        <f>IFERROR(__xludf.DUMMYFUNCTION("""COMPUTED_VALUE"""),45308.0)</f>
        <v>45308</v>
      </c>
      <c r="C458" s="48" t="str">
        <f>IFERROR(__xludf.DUMMYFUNCTION("""COMPUTED_VALUE"""),"0")</f>
        <v>0</v>
      </c>
    </row>
    <row r="459">
      <c r="A459" s="48" t="str">
        <f>IFERROR(__xludf.DUMMYFUNCTION("""COMPUTED_VALUE"""),"18. Mobilização Social")</f>
        <v>18. Mobilização Social</v>
      </c>
      <c r="B459" s="54">
        <f>IFERROR(__xludf.DUMMYFUNCTION("""COMPUTED_VALUE"""),45308.0)</f>
        <v>45308</v>
      </c>
      <c r="C459" s="48" t="str">
        <f>IFERROR(__xludf.DUMMYFUNCTION("""COMPUTED_VALUE"""),"0")</f>
        <v>0</v>
      </c>
    </row>
    <row r="460">
      <c r="A460" s="48" t="str">
        <f>IFERROR(__xludf.DUMMYFUNCTION("""COMPUTED_VALUE"""),"26. Outro")</f>
        <v>26. Outro</v>
      </c>
      <c r="B460" s="54">
        <f>IFERROR(__xludf.DUMMYFUNCTION("""COMPUTED_VALUE"""),45309.0)</f>
        <v>45309</v>
      </c>
      <c r="C460" s="48" t="str">
        <f>IFERROR(__xludf.DUMMYFUNCTION("""COMPUTED_VALUE"""),"0")</f>
        <v>0</v>
      </c>
    </row>
    <row r="461">
      <c r="A461" s="48" t="str">
        <f>IFERROR(__xludf.DUMMYFUNCTION("""COMPUTED_VALUE"""),"18. Mobilização Social")</f>
        <v>18. Mobilização Social</v>
      </c>
      <c r="B461" s="54">
        <f>IFERROR(__xludf.DUMMYFUNCTION("""COMPUTED_VALUE"""),45309.0)</f>
        <v>45309</v>
      </c>
      <c r="C461" s="48" t="str">
        <f>IFERROR(__xludf.DUMMYFUNCTION("""COMPUTED_VALUE"""),"0")</f>
        <v>0</v>
      </c>
    </row>
    <row r="462">
      <c r="A462" s="48" t="str">
        <f>IFERROR(__xludf.DUMMYFUNCTION("""COMPUTED_VALUE"""),"26. Outro")</f>
        <v>26. Outro</v>
      </c>
      <c r="B462" s="54">
        <f>IFERROR(__xludf.DUMMYFUNCTION("""COMPUTED_VALUE"""),45310.0)</f>
        <v>45310</v>
      </c>
      <c r="C462" s="48"/>
    </row>
    <row r="463">
      <c r="A463" s="48" t="str">
        <f>IFERROR(__xludf.DUMMYFUNCTION("""COMPUTED_VALUE"""),"20. Ação de Comunicação / Informação / Capacitação Externa")</f>
        <v>20. Ação de Comunicação / Informação / Capacitação Externa</v>
      </c>
      <c r="B463" s="54">
        <f>IFERROR(__xludf.DUMMYFUNCTION("""COMPUTED_VALUE"""),45313.0)</f>
        <v>45313</v>
      </c>
      <c r="C463" s="48" t="str">
        <f>IFERROR(__xludf.DUMMYFUNCTION("""COMPUTED_VALUE"""),"0")</f>
        <v>0</v>
      </c>
    </row>
    <row r="464">
      <c r="A464" s="48" t="str">
        <f>IFERROR(__xludf.DUMMYFUNCTION("""COMPUTED_VALUE"""),"26. Outro")</f>
        <v>26. Outro</v>
      </c>
      <c r="B464" s="54">
        <f>IFERROR(__xludf.DUMMYFUNCTION("""COMPUTED_VALUE"""),45314.0)</f>
        <v>45314</v>
      </c>
      <c r="C464" s="48" t="str">
        <f>IFERROR(__xludf.DUMMYFUNCTION("""COMPUTED_VALUE""")," ")</f>
        <v> </v>
      </c>
    </row>
    <row r="465">
      <c r="A465" s="48" t="str">
        <f>IFERROR(__xludf.DUMMYFUNCTION("""COMPUTED_VALUE"""),"18. Mobilização Social")</f>
        <v>18. Mobilização Social</v>
      </c>
      <c r="B465" s="54">
        <f>IFERROR(__xludf.DUMMYFUNCTION("""COMPUTED_VALUE"""),45315.0)</f>
        <v>45315</v>
      </c>
      <c r="C465" s="48"/>
    </row>
    <row r="466">
      <c r="A466" s="48" t="str">
        <f>IFERROR(__xludf.DUMMYFUNCTION("""COMPUTED_VALUE"""),"18. Mobilização Social")</f>
        <v>18. Mobilização Social</v>
      </c>
      <c r="B466" s="54">
        <f>IFERROR(__xludf.DUMMYFUNCTION("""COMPUTED_VALUE"""),45315.0)</f>
        <v>45315</v>
      </c>
      <c r="C466" s="48" t="str">
        <f>IFERROR(__xludf.DUMMYFUNCTION("""COMPUTED_VALUE"""),"4")</f>
        <v>4</v>
      </c>
    </row>
    <row r="467">
      <c r="A467" s="48" t="str">
        <f>IFERROR(__xludf.DUMMYFUNCTION("""COMPUTED_VALUE"""),"20. Ação de Comunicação / Informação / Capacitação Externa")</f>
        <v>20. Ação de Comunicação / Informação / Capacitação Externa</v>
      </c>
      <c r="B467" s="54">
        <f>IFERROR(__xludf.DUMMYFUNCTION("""COMPUTED_VALUE"""),45315.0)</f>
        <v>45315</v>
      </c>
      <c r="C467" s="48"/>
    </row>
    <row r="468">
      <c r="A468" s="48" t="str">
        <f>IFERROR(__xludf.DUMMYFUNCTION("""COMPUTED_VALUE"""),"18. Mobilização Social")</f>
        <v>18. Mobilização Social</v>
      </c>
      <c r="B468" s="54">
        <f>IFERROR(__xludf.DUMMYFUNCTION("""COMPUTED_VALUE"""),45315.0)</f>
        <v>45315</v>
      </c>
      <c r="C468" s="48"/>
    </row>
    <row r="469">
      <c r="A469" s="48" t="str">
        <f>IFERROR(__xludf.DUMMYFUNCTION("""COMPUTED_VALUE"""),"20. Ação de Comunicação / Informação / Capacitação Externa")</f>
        <v>20. Ação de Comunicação / Informação / Capacitação Externa</v>
      </c>
      <c r="B469" s="54">
        <f>IFERROR(__xludf.DUMMYFUNCTION("""COMPUTED_VALUE"""),45315.0)</f>
        <v>45315</v>
      </c>
      <c r="C469" s="48"/>
    </row>
    <row r="470">
      <c r="A470" s="48" t="str">
        <f>IFERROR(__xludf.DUMMYFUNCTION("""COMPUTED_VALUE"""),"18. Mobilização Social")</f>
        <v>18. Mobilização Social</v>
      </c>
      <c r="B470" s="54">
        <f>IFERROR(__xludf.DUMMYFUNCTION("""COMPUTED_VALUE"""),45316.0)</f>
        <v>45316</v>
      </c>
      <c r="C470" s="48" t="str">
        <f>IFERROR(__xludf.DUMMYFUNCTION("""COMPUTED_VALUE"""),"8")</f>
        <v>8</v>
      </c>
    </row>
    <row r="471">
      <c r="A471" s="48" t="str">
        <f>IFERROR(__xludf.DUMMYFUNCTION("""COMPUTED_VALUE"""),"26. Outro")</f>
        <v>26. Outro</v>
      </c>
      <c r="B471" s="54">
        <f>IFERROR(__xludf.DUMMYFUNCTION("""COMPUTED_VALUE"""),45316.0)</f>
        <v>45316</v>
      </c>
      <c r="C471" s="48"/>
    </row>
    <row r="472">
      <c r="A472" s="48" t="str">
        <f>IFERROR(__xludf.DUMMYFUNCTION("""COMPUTED_VALUE"""),"20. Ação de Comunicação / Informação / Capacitação Externa")</f>
        <v>20. Ação de Comunicação / Informação / Capacitação Externa</v>
      </c>
      <c r="B472" s="54">
        <f>IFERROR(__xludf.DUMMYFUNCTION("""COMPUTED_VALUE"""),45316.0)</f>
        <v>45316</v>
      </c>
      <c r="C472" s="48"/>
    </row>
    <row r="473">
      <c r="A473" s="48" t="str">
        <f>IFERROR(__xludf.DUMMYFUNCTION("""COMPUTED_VALUE"""),"18. Mobilização Social")</f>
        <v>18. Mobilização Social</v>
      </c>
      <c r="B473" s="54">
        <f>IFERROR(__xludf.DUMMYFUNCTION("""COMPUTED_VALUE"""),45317.0)</f>
        <v>45317</v>
      </c>
      <c r="C473" s="48" t="str">
        <f>IFERROR(__xludf.DUMMYFUNCTION("""COMPUTED_VALUE"""),"13")</f>
        <v>13</v>
      </c>
    </row>
    <row r="474">
      <c r="A474" s="48" t="str">
        <f>IFERROR(__xludf.DUMMYFUNCTION("""COMPUTED_VALUE"""),"18. Mobilização Social")</f>
        <v>18. Mobilização Social</v>
      </c>
      <c r="B474" s="54">
        <f>IFERROR(__xludf.DUMMYFUNCTION("""COMPUTED_VALUE"""),45317.0)</f>
        <v>45317</v>
      </c>
      <c r="C474" s="48" t="str">
        <f>IFERROR(__xludf.DUMMYFUNCTION("""COMPUTED_VALUE"""),"3")</f>
        <v>3</v>
      </c>
    </row>
    <row r="475">
      <c r="A475" s="48" t="str">
        <f>IFERROR(__xludf.DUMMYFUNCTION("""COMPUTED_VALUE"""),"18. Mobilização Social")</f>
        <v>18. Mobilização Social</v>
      </c>
      <c r="B475" s="54">
        <f>IFERROR(__xludf.DUMMYFUNCTION("""COMPUTED_VALUE"""),45320.0)</f>
        <v>45320</v>
      </c>
      <c r="C475" s="48" t="str">
        <f>IFERROR(__xludf.DUMMYFUNCTION("""COMPUTED_VALUE"""),"3")</f>
        <v>3</v>
      </c>
    </row>
    <row r="476">
      <c r="A476" s="48" t="str">
        <f>IFERROR(__xludf.DUMMYFUNCTION("""COMPUTED_VALUE"""),"26. Outro")</f>
        <v>26. Outro</v>
      </c>
      <c r="B476" s="54">
        <f>IFERROR(__xludf.DUMMYFUNCTION("""COMPUTED_VALUE"""),45320.0)</f>
        <v>45320</v>
      </c>
      <c r="C476" s="48"/>
    </row>
    <row r="477">
      <c r="A477" s="48" t="str">
        <f>IFERROR(__xludf.DUMMYFUNCTION("""COMPUTED_VALUE"""),"18. Mobilização Social")</f>
        <v>18. Mobilização Social</v>
      </c>
      <c r="B477" s="54">
        <f>IFERROR(__xludf.DUMMYFUNCTION("""COMPUTED_VALUE"""),45321.0)</f>
        <v>45321</v>
      </c>
      <c r="C477" s="48" t="str">
        <f>IFERROR(__xludf.DUMMYFUNCTION("""COMPUTED_VALUE"""),"5")</f>
        <v>5</v>
      </c>
    </row>
    <row r="478">
      <c r="A478" s="48" t="str">
        <f>IFERROR(__xludf.DUMMYFUNCTION("""COMPUTED_VALUE"""),"18. Mobilização Social")</f>
        <v>18. Mobilização Social</v>
      </c>
      <c r="B478" s="54">
        <f>IFERROR(__xludf.DUMMYFUNCTION("""COMPUTED_VALUE"""),45322.0)</f>
        <v>45322</v>
      </c>
      <c r="C478" s="48"/>
    </row>
    <row r="479">
      <c r="A479" s="48" t="str">
        <f>IFERROR(__xludf.DUMMYFUNCTION("""COMPUTED_VALUE"""),"20. Ação de Comunicação / Informação / Capacitação Externa")</f>
        <v>20. Ação de Comunicação / Informação / Capacitação Externa</v>
      </c>
      <c r="B479" s="54">
        <f>IFERROR(__xludf.DUMMYFUNCTION("""COMPUTED_VALUE"""),45322.0)</f>
        <v>45322</v>
      </c>
      <c r="C479" s="48"/>
    </row>
    <row r="480">
      <c r="A480" s="48" t="str">
        <f>IFERROR(__xludf.DUMMYFUNCTION("""COMPUTED_VALUE"""),"20. Ação de Comunicação / Informação / Capacitação Externa")</f>
        <v>20. Ação de Comunicação / Informação / Capacitação Externa</v>
      </c>
      <c r="B480" s="54">
        <f>IFERROR(__xludf.DUMMYFUNCTION("""COMPUTED_VALUE"""),45323.0)</f>
        <v>45323</v>
      </c>
      <c r="C480" s="48"/>
    </row>
    <row r="481">
      <c r="A481" s="48" t="str">
        <f>IFERROR(__xludf.DUMMYFUNCTION("""COMPUTED_VALUE"""),"20. Ação de Comunicação / Informação / Capacitação Externa")</f>
        <v>20. Ação de Comunicação / Informação / Capacitação Externa</v>
      </c>
      <c r="B481" s="54">
        <f>IFERROR(__xludf.DUMMYFUNCTION("""COMPUTED_VALUE"""),45323.0)</f>
        <v>45323</v>
      </c>
      <c r="C481" s="48"/>
    </row>
    <row r="482">
      <c r="A482" s="48" t="str">
        <f>IFERROR(__xludf.DUMMYFUNCTION("""COMPUTED_VALUE"""),"26. Outro")</f>
        <v>26. Outro</v>
      </c>
      <c r="B482" s="54">
        <f>IFERROR(__xludf.DUMMYFUNCTION("""COMPUTED_VALUE"""),45324.0)</f>
        <v>45324</v>
      </c>
      <c r="C482" s="48"/>
    </row>
    <row r="483">
      <c r="A483" s="48" t="str">
        <f>IFERROR(__xludf.DUMMYFUNCTION("""COMPUTED_VALUE"""),"26. Outro")</f>
        <v>26. Outro</v>
      </c>
      <c r="B483" s="54">
        <f>IFERROR(__xludf.DUMMYFUNCTION("""COMPUTED_VALUE"""),45327.0)</f>
        <v>45327</v>
      </c>
      <c r="C483" s="48"/>
    </row>
    <row r="484">
      <c r="A484" s="48" t="str">
        <f>IFERROR(__xludf.DUMMYFUNCTION("""COMPUTED_VALUE"""),"20. Ação de Comunicação / Informação / Capacitação Externa")</f>
        <v>20. Ação de Comunicação / Informação / Capacitação Externa</v>
      </c>
      <c r="B484" s="54">
        <f>IFERROR(__xludf.DUMMYFUNCTION("""COMPUTED_VALUE"""),45327.0)</f>
        <v>45327</v>
      </c>
      <c r="C484" s="48"/>
    </row>
    <row r="485">
      <c r="A485" s="48" t="str">
        <f>IFERROR(__xludf.DUMMYFUNCTION("""COMPUTED_VALUE"""),"20. Ação de Comunicação / Informação / Capacitação Externa")</f>
        <v>20. Ação de Comunicação / Informação / Capacitação Externa</v>
      </c>
      <c r="B485" s="54">
        <f>IFERROR(__xludf.DUMMYFUNCTION("""COMPUTED_VALUE"""),45327.0)</f>
        <v>45327</v>
      </c>
      <c r="C485" s="48"/>
    </row>
    <row r="486">
      <c r="A486" s="48" t="str">
        <f>IFERROR(__xludf.DUMMYFUNCTION("""COMPUTED_VALUE"""),"26. Outro")</f>
        <v>26. Outro</v>
      </c>
      <c r="B486" s="54">
        <f>IFERROR(__xludf.DUMMYFUNCTION("""COMPUTED_VALUE"""),45327.0)</f>
        <v>45327</v>
      </c>
      <c r="C486" s="48"/>
    </row>
    <row r="487">
      <c r="A487" s="48" t="str">
        <f>IFERROR(__xludf.DUMMYFUNCTION("""COMPUTED_VALUE"""),"24. Projetos ou atividades Específicos")</f>
        <v>24. Projetos ou atividades Específicos</v>
      </c>
      <c r="B487" s="54">
        <f>IFERROR(__xludf.DUMMYFUNCTION("""COMPUTED_VALUE"""),45328.0)</f>
        <v>45328</v>
      </c>
      <c r="C487" s="48"/>
    </row>
    <row r="488">
      <c r="A488" s="48" t="str">
        <f>IFERROR(__xludf.DUMMYFUNCTION("""COMPUTED_VALUE"""),"18. Mobilização Social")</f>
        <v>18. Mobilização Social</v>
      </c>
      <c r="B488" s="54">
        <f>IFERROR(__xludf.DUMMYFUNCTION("""COMPUTED_VALUE"""),45328.0)</f>
        <v>45328</v>
      </c>
      <c r="C488" s="48"/>
    </row>
    <row r="489">
      <c r="A489" s="48" t="str">
        <f>IFERROR(__xludf.DUMMYFUNCTION("""COMPUTED_VALUE"""),"20. Ação de Comunicação / Informação / Capacitação Externa")</f>
        <v>20. Ação de Comunicação / Informação / Capacitação Externa</v>
      </c>
      <c r="B489" s="54">
        <f>IFERROR(__xludf.DUMMYFUNCTION("""COMPUTED_VALUE"""),45328.0)</f>
        <v>45328</v>
      </c>
      <c r="C489" s="48"/>
    </row>
    <row r="490">
      <c r="A490" s="48" t="str">
        <f>IFERROR(__xludf.DUMMYFUNCTION("""COMPUTED_VALUE"""),"26. Outro")</f>
        <v>26. Outro</v>
      </c>
      <c r="B490" s="54">
        <f>IFERROR(__xludf.DUMMYFUNCTION("""COMPUTED_VALUE"""),45328.0)</f>
        <v>45328</v>
      </c>
      <c r="C490" s="48"/>
    </row>
    <row r="491">
      <c r="A491" s="48" t="str">
        <f>IFERROR(__xludf.DUMMYFUNCTION("""COMPUTED_VALUE"""),"26. Outro")</f>
        <v>26. Outro</v>
      </c>
      <c r="B491" s="54">
        <f>IFERROR(__xludf.DUMMYFUNCTION("""COMPUTED_VALUE"""),45328.0)</f>
        <v>45328</v>
      </c>
      <c r="C491" s="48"/>
    </row>
    <row r="492">
      <c r="A492" s="48" t="str">
        <f>IFERROR(__xludf.DUMMYFUNCTION("""COMPUTED_VALUE"""),"24. Projetos ou atividades Específicos")</f>
        <v>24. Projetos ou atividades Específicos</v>
      </c>
      <c r="B492" s="54">
        <f>IFERROR(__xludf.DUMMYFUNCTION("""COMPUTED_VALUE"""),45329.0)</f>
        <v>45329</v>
      </c>
      <c r="C492" s="48"/>
    </row>
    <row r="493">
      <c r="A493" s="48" t="str">
        <f>IFERROR(__xludf.DUMMYFUNCTION("""COMPUTED_VALUE"""),"25. Atividade Relacinada a Cobrança/Faturamento")</f>
        <v>25. Atividade Relacinada a Cobrança/Faturamento</v>
      </c>
      <c r="B493" s="54">
        <f>IFERROR(__xludf.DUMMYFUNCTION("""COMPUTED_VALUE"""),45329.0)</f>
        <v>45329</v>
      </c>
      <c r="C493" s="48"/>
    </row>
    <row r="494">
      <c r="A494" s="48" t="str">
        <f>IFERROR(__xludf.DUMMYFUNCTION("""COMPUTED_VALUE"""),"26. Outro")</f>
        <v>26. Outro</v>
      </c>
      <c r="B494" s="54">
        <f>IFERROR(__xludf.DUMMYFUNCTION("""COMPUTED_VALUE"""),45329.0)</f>
        <v>45329</v>
      </c>
      <c r="C494" s="48"/>
    </row>
    <row r="495">
      <c r="A495" s="48" t="str">
        <f>IFERROR(__xludf.DUMMYFUNCTION("""COMPUTED_VALUE"""),"6. CBH – Reunião Ordinária do Comitê")</f>
        <v>6. CBH – Reunião Ordinária do Comitê</v>
      </c>
      <c r="B495" s="54">
        <f>IFERROR(__xludf.DUMMYFUNCTION("""COMPUTED_VALUE"""),45330.0)</f>
        <v>45330</v>
      </c>
      <c r="C495" s="48" t="str">
        <f>IFERROR(__xludf.DUMMYFUNCTION("""COMPUTED_VALUE"""),"39")</f>
        <v>39</v>
      </c>
    </row>
    <row r="496">
      <c r="A496" s="48" t="str">
        <f>IFERROR(__xludf.DUMMYFUNCTION("""COMPUTED_VALUE"""),"24. Projetos ou atividades Específicos")</f>
        <v>24. Projetos ou atividades Específicos</v>
      </c>
      <c r="B496" s="54">
        <f>IFERROR(__xludf.DUMMYFUNCTION("""COMPUTED_VALUE"""),45330.0)</f>
        <v>45330</v>
      </c>
      <c r="C496" s="48"/>
    </row>
    <row r="497">
      <c r="A497" s="48" t="str">
        <f>IFERROR(__xludf.DUMMYFUNCTION("""COMPUTED_VALUE"""),"20. Ação de Comunicação / Informação / Capacitação Externa")</f>
        <v>20. Ação de Comunicação / Informação / Capacitação Externa</v>
      </c>
      <c r="B497" s="54">
        <f>IFERROR(__xludf.DUMMYFUNCTION("""COMPUTED_VALUE"""),45330.0)</f>
        <v>45330</v>
      </c>
      <c r="C497" s="48"/>
    </row>
    <row r="498">
      <c r="A498" s="48" t="str">
        <f>IFERROR(__xludf.DUMMYFUNCTION("""COMPUTED_VALUE"""),"24. Projetos ou atividades Específicos")</f>
        <v>24. Projetos ou atividades Específicos</v>
      </c>
      <c r="B498" s="54">
        <f>IFERROR(__xludf.DUMMYFUNCTION("""COMPUTED_VALUE"""),45330.0)</f>
        <v>45330</v>
      </c>
      <c r="C498" s="48"/>
    </row>
    <row r="499">
      <c r="A499" s="48" t="str">
        <f>IFERROR(__xludf.DUMMYFUNCTION("""COMPUTED_VALUE"""),"18. Mobilização Social")</f>
        <v>18. Mobilização Social</v>
      </c>
      <c r="B499" s="54">
        <f>IFERROR(__xludf.DUMMYFUNCTION("""COMPUTED_VALUE"""),45331.0)</f>
        <v>45331</v>
      </c>
      <c r="C499" s="48"/>
    </row>
    <row r="500">
      <c r="A500" s="48" t="str">
        <f>IFERROR(__xludf.DUMMYFUNCTION("""COMPUTED_VALUE"""),"25. Atividade Relacinada a Cobrança/Faturamento")</f>
        <v>25. Atividade Relacinada a Cobrança/Faturamento</v>
      </c>
      <c r="B500" s="54">
        <f>IFERROR(__xludf.DUMMYFUNCTION("""COMPUTED_VALUE"""),45331.0)</f>
        <v>45331</v>
      </c>
      <c r="C500" s="48"/>
    </row>
    <row r="501">
      <c r="A501" s="48" t="str">
        <f>IFERROR(__xludf.DUMMYFUNCTION("""COMPUTED_VALUE"""),"20. Ação de Comunicação / Informação / Capacitação Externa")</f>
        <v>20. Ação de Comunicação / Informação / Capacitação Externa</v>
      </c>
      <c r="B501" s="54">
        <f>IFERROR(__xludf.DUMMYFUNCTION("""COMPUTED_VALUE"""),45334.0)</f>
        <v>45334</v>
      </c>
      <c r="C501" s="48"/>
    </row>
    <row r="502">
      <c r="A502" s="48" t="str">
        <f>IFERROR(__xludf.DUMMYFUNCTION("""COMPUTED_VALUE"""),"24. Projetos ou atividades Específicos")</f>
        <v>24. Projetos ou atividades Específicos</v>
      </c>
      <c r="B502" s="54">
        <f>IFERROR(__xludf.DUMMYFUNCTION("""COMPUTED_VALUE"""),45337.0)</f>
        <v>45337</v>
      </c>
      <c r="C502" s="48"/>
    </row>
    <row r="503">
      <c r="A503" s="48" t="str">
        <f>IFERROR(__xludf.DUMMYFUNCTION("""COMPUTED_VALUE"""),"11. CBH – Processo de Renovação do Comitê")</f>
        <v>11. CBH – Processo de Renovação do Comitê</v>
      </c>
      <c r="B503" s="54">
        <f>IFERROR(__xludf.DUMMYFUNCTION("""COMPUTED_VALUE"""),45341.0)</f>
        <v>45341</v>
      </c>
      <c r="C503" s="48" t="str">
        <f>IFERROR(__xludf.DUMMYFUNCTION("""COMPUTED_VALUE"""),"4")</f>
        <v>4</v>
      </c>
    </row>
    <row r="504">
      <c r="A504" s="48" t="str">
        <f>IFERROR(__xludf.DUMMYFUNCTION("""COMPUTED_VALUE"""),"20. Ação de Comunicação / Informação / Capacitação Externa")</f>
        <v>20. Ação de Comunicação / Informação / Capacitação Externa</v>
      </c>
      <c r="B504" s="54">
        <f>IFERROR(__xludf.DUMMYFUNCTION("""COMPUTED_VALUE"""),45341.0)</f>
        <v>45341</v>
      </c>
      <c r="C504" s="48"/>
    </row>
    <row r="505">
      <c r="A505" s="48" t="str">
        <f>IFERROR(__xludf.DUMMYFUNCTION("""COMPUTED_VALUE"""),"20. Ação de Comunicação / Informação / Capacitação Externa")</f>
        <v>20. Ação de Comunicação / Informação / Capacitação Externa</v>
      </c>
      <c r="B505" s="54">
        <f>IFERROR(__xludf.DUMMYFUNCTION("""COMPUTED_VALUE"""),45341.0)</f>
        <v>45341</v>
      </c>
      <c r="C505" s="48"/>
    </row>
    <row r="506">
      <c r="A506" s="48" t="str">
        <f>IFERROR(__xludf.DUMMYFUNCTION("""COMPUTED_VALUE"""),"18. Mobilização Social")</f>
        <v>18. Mobilização Social</v>
      </c>
      <c r="B506" s="54">
        <f>IFERROR(__xludf.DUMMYFUNCTION("""COMPUTED_VALUE"""),45341.0)</f>
        <v>45341</v>
      </c>
      <c r="C506" s="48"/>
    </row>
    <row r="507">
      <c r="A507" s="48" t="str">
        <f>IFERROR(__xludf.DUMMYFUNCTION("""COMPUTED_VALUE"""),"26. Outro")</f>
        <v>26. Outro</v>
      </c>
      <c r="B507" s="54">
        <f>IFERROR(__xludf.DUMMYFUNCTION("""COMPUTED_VALUE"""),45342.0)</f>
        <v>45342</v>
      </c>
      <c r="C507" s="48"/>
    </row>
    <row r="508">
      <c r="A508" s="48" t="str">
        <f>IFERROR(__xludf.DUMMYFUNCTION("""COMPUTED_VALUE"""),"26. Outro")</f>
        <v>26. Outro</v>
      </c>
      <c r="B508" s="54">
        <f>IFERROR(__xludf.DUMMYFUNCTION("""COMPUTED_VALUE"""),45343.0)</f>
        <v>45343</v>
      </c>
      <c r="C508" s="48"/>
    </row>
    <row r="509">
      <c r="A509" s="48" t="str">
        <f>IFERROR(__xludf.DUMMYFUNCTION("""COMPUTED_VALUE"""),"18. Mobilização Social")</f>
        <v>18. Mobilização Social</v>
      </c>
      <c r="B509" s="54">
        <f>IFERROR(__xludf.DUMMYFUNCTION("""COMPUTED_VALUE"""),45342.0)</f>
        <v>45342</v>
      </c>
      <c r="C509" s="48" t="str">
        <f>IFERROR(__xludf.DUMMYFUNCTION("""COMPUTED_VALUE"""),"29")</f>
        <v>29</v>
      </c>
    </row>
    <row r="510">
      <c r="A510" s="48" t="str">
        <f>IFERROR(__xludf.DUMMYFUNCTION("""COMPUTED_VALUE"""),"18. Mobilização Social")</f>
        <v>18. Mobilização Social</v>
      </c>
      <c r="B510" s="54">
        <f>IFERROR(__xludf.DUMMYFUNCTION("""COMPUTED_VALUE"""),45343.0)</f>
        <v>45343</v>
      </c>
      <c r="C510" s="48" t="str">
        <f>IFERROR(__xludf.DUMMYFUNCTION("""COMPUTED_VALUE"""),"34")</f>
        <v>34</v>
      </c>
    </row>
    <row r="511">
      <c r="A511" s="48" t="str">
        <f>IFERROR(__xludf.DUMMYFUNCTION("""COMPUTED_VALUE"""),"24. Projetos ou atividades Específicos")</f>
        <v>24. Projetos ou atividades Específicos</v>
      </c>
      <c r="B511" s="54">
        <f>IFERROR(__xludf.DUMMYFUNCTION("""COMPUTED_VALUE"""),45344.0)</f>
        <v>45344</v>
      </c>
      <c r="C511" s="48"/>
    </row>
    <row r="512">
      <c r="A512" s="48" t="str">
        <f>IFERROR(__xludf.DUMMYFUNCTION("""COMPUTED_VALUE"""),"26. Outro")</f>
        <v>26. Outro</v>
      </c>
      <c r="B512" s="54">
        <f>IFERROR(__xludf.DUMMYFUNCTION("""COMPUTED_VALUE"""),45345.0)</f>
        <v>45345</v>
      </c>
      <c r="C512" s="48"/>
    </row>
    <row r="513">
      <c r="A513" s="48" t="str">
        <f>IFERROR(__xludf.DUMMYFUNCTION("""COMPUTED_VALUE"""),"26. Outro")</f>
        <v>26. Outro</v>
      </c>
      <c r="B513" s="54">
        <f>IFERROR(__xludf.DUMMYFUNCTION("""COMPUTED_VALUE"""),45345.0)</f>
        <v>45345</v>
      </c>
      <c r="C513" s="48"/>
    </row>
    <row r="514">
      <c r="A514" s="48" t="str">
        <f>IFERROR(__xludf.DUMMYFUNCTION("""COMPUTED_VALUE"""),"24. Projetos ou atividades Específicos")</f>
        <v>24. Projetos ou atividades Específicos</v>
      </c>
      <c r="B514" s="54">
        <f>IFERROR(__xludf.DUMMYFUNCTION("""COMPUTED_VALUE"""),45348.0)</f>
        <v>45348</v>
      </c>
      <c r="C514" s="48"/>
    </row>
    <row r="515">
      <c r="A515" s="48" t="str">
        <f>IFERROR(__xludf.DUMMYFUNCTION("""COMPUTED_VALUE"""),"26. Outro")</f>
        <v>26. Outro</v>
      </c>
      <c r="B515" s="54">
        <f>IFERROR(__xludf.DUMMYFUNCTION("""COMPUTED_VALUE"""),45348.0)</f>
        <v>45348</v>
      </c>
      <c r="C515" s="48"/>
    </row>
    <row r="516">
      <c r="A516" s="48" t="str">
        <f>IFERROR(__xludf.DUMMYFUNCTION("""COMPUTED_VALUE"""),"20. Ação de Comunicação / Informação / Capacitação Externa")</f>
        <v>20. Ação de Comunicação / Informação / Capacitação Externa</v>
      </c>
      <c r="B516" s="54">
        <f>IFERROR(__xludf.DUMMYFUNCTION("""COMPUTED_VALUE"""),45348.0)</f>
        <v>45348</v>
      </c>
      <c r="C516" s="48"/>
    </row>
    <row r="517">
      <c r="A517" s="48" t="str">
        <f>IFERROR(__xludf.DUMMYFUNCTION("""COMPUTED_VALUE"""),"26. Outro")</f>
        <v>26. Outro</v>
      </c>
      <c r="B517" s="54">
        <f>IFERROR(__xludf.DUMMYFUNCTION("""COMPUTED_VALUE"""),45348.0)</f>
        <v>45348</v>
      </c>
      <c r="C517" s="48"/>
    </row>
    <row r="518">
      <c r="A518" s="48" t="str">
        <f>IFERROR(__xludf.DUMMYFUNCTION("""COMPUTED_VALUE"""),"24. Projetos ou atividades Específicos")</f>
        <v>24. Projetos ou atividades Específicos</v>
      </c>
      <c r="B518" s="54">
        <f>IFERROR(__xludf.DUMMYFUNCTION("""COMPUTED_VALUE"""),45349.0)</f>
        <v>45349</v>
      </c>
      <c r="C518" s="48"/>
    </row>
    <row r="519">
      <c r="A519" s="48" t="str">
        <f>IFERROR(__xludf.DUMMYFUNCTION("""COMPUTED_VALUE"""),"18. Mobilização Social")</f>
        <v>18. Mobilização Social</v>
      </c>
      <c r="B519" s="54">
        <f>IFERROR(__xludf.DUMMYFUNCTION("""COMPUTED_VALUE"""),-619393.0)</f>
        <v>-619393</v>
      </c>
      <c r="C519" s="48"/>
    </row>
    <row r="520">
      <c r="A520" s="48" t="str">
        <f>IFERROR(__xludf.DUMMYFUNCTION("""COMPUTED_VALUE"""),"20. Ação de Comunicação / Informação / Capacitação Externa")</f>
        <v>20. Ação de Comunicação / Informação / Capacitação Externa</v>
      </c>
      <c r="B520" s="54">
        <f>IFERROR(__xludf.DUMMYFUNCTION("""COMPUTED_VALUE"""),45349.0)</f>
        <v>45349</v>
      </c>
      <c r="C520" s="48"/>
    </row>
    <row r="521">
      <c r="A521" s="48" t="str">
        <f>IFERROR(__xludf.DUMMYFUNCTION("""COMPUTED_VALUE"""),"24. Projetos ou atividades Específicos")</f>
        <v>24. Projetos ou atividades Específicos</v>
      </c>
      <c r="B521" s="54">
        <f>IFERROR(__xludf.DUMMYFUNCTION("""COMPUTED_VALUE"""),45350.0)</f>
        <v>45350</v>
      </c>
      <c r="C521" s="48"/>
    </row>
    <row r="522">
      <c r="A522" s="48" t="str">
        <f>IFERROR(__xludf.DUMMYFUNCTION("""COMPUTED_VALUE"""),"24. Projetos ou atividades Específicos")</f>
        <v>24. Projetos ou atividades Específicos</v>
      </c>
      <c r="B522" s="54">
        <f>IFERROR(__xludf.DUMMYFUNCTION("""COMPUTED_VALUE"""),45350.0)</f>
        <v>45350</v>
      </c>
      <c r="C522" s="48"/>
    </row>
    <row r="523">
      <c r="A523" s="48" t="str">
        <f>IFERROR(__xludf.DUMMYFUNCTION("""COMPUTED_VALUE"""),"20. Ação de Comunicação / Informação / Capacitação Externa")</f>
        <v>20. Ação de Comunicação / Informação / Capacitação Externa</v>
      </c>
      <c r="B523" s="54">
        <f>IFERROR(__xludf.DUMMYFUNCTION("""COMPUTED_VALUE"""),45350.0)</f>
        <v>45350</v>
      </c>
      <c r="C523" s="48"/>
    </row>
    <row r="524">
      <c r="A524" s="48" t="str">
        <f>IFERROR(__xludf.DUMMYFUNCTION("""COMPUTED_VALUE"""),"24. Projetos ou atividades Específicos")</f>
        <v>24. Projetos ou atividades Específicos</v>
      </c>
      <c r="B524" s="54">
        <f>IFERROR(__xludf.DUMMYFUNCTION("""COMPUTED_VALUE"""),45350.0)</f>
        <v>45350</v>
      </c>
      <c r="C524" s="48"/>
    </row>
    <row r="525">
      <c r="A525" s="48" t="str">
        <f>IFERROR(__xludf.DUMMYFUNCTION("""COMPUTED_VALUE"""),"24. Projetos ou atividades Específicos")</f>
        <v>24. Projetos ou atividades Específicos</v>
      </c>
      <c r="B525" s="54">
        <f>IFERROR(__xludf.DUMMYFUNCTION("""COMPUTED_VALUE"""),45351.0)</f>
        <v>45351</v>
      </c>
      <c r="C525" s="48"/>
    </row>
    <row r="526">
      <c r="A526" s="48" t="str">
        <f>IFERROR(__xludf.DUMMYFUNCTION("""COMPUTED_VALUE"""),"20. Ação de Comunicação / Informação / Capacitação Externa")</f>
        <v>20. Ação de Comunicação / Informação / Capacitação Externa</v>
      </c>
      <c r="B526" s="54">
        <f>IFERROR(__xludf.DUMMYFUNCTION("""COMPUTED_VALUE"""),45351.0)</f>
        <v>45351</v>
      </c>
      <c r="C526" s="48"/>
    </row>
    <row r="527">
      <c r="A527" s="48"/>
      <c r="B527" s="54"/>
      <c r="C527" s="48"/>
    </row>
    <row r="528">
      <c r="A528" s="48" t="str">
        <f>IFERROR(__xludf.DUMMYFUNCTION("""COMPUTED_VALUE"""),"20. Ação de Comunicação / Informação / Capacitação Externa")</f>
        <v>20. Ação de Comunicação / Informação / Capacitação Externa</v>
      </c>
      <c r="B528" s="54">
        <f>IFERROR(__xludf.DUMMYFUNCTION("""COMPUTED_VALUE"""),45352.0)</f>
        <v>45352</v>
      </c>
      <c r="C528" s="48"/>
    </row>
    <row r="529">
      <c r="A529" s="48" t="str">
        <f>IFERROR(__xludf.DUMMYFUNCTION("""COMPUTED_VALUE"""),"24. Projetos ou atividades Específicos")</f>
        <v>24. Projetos ou atividades Específicos</v>
      </c>
      <c r="B529" s="54">
        <f>IFERROR(__xludf.DUMMYFUNCTION("""COMPUTED_VALUE"""),45352.0)</f>
        <v>45352</v>
      </c>
      <c r="C529" s="48"/>
    </row>
    <row r="530">
      <c r="A530" s="48" t="str">
        <f>IFERROR(__xludf.DUMMYFUNCTION("""COMPUTED_VALUE"""),"24. Projetos ou atividades Específicos")</f>
        <v>24. Projetos ou atividades Específicos</v>
      </c>
      <c r="B530" s="54">
        <f>IFERROR(__xludf.DUMMYFUNCTION("""COMPUTED_VALUE"""),45352.0)</f>
        <v>45352</v>
      </c>
      <c r="C530" s="48"/>
    </row>
    <row r="531">
      <c r="A531" s="48" t="str">
        <f>IFERROR(__xludf.DUMMYFUNCTION("""COMPUTED_VALUE"""),"18. Mobilização Social")</f>
        <v>18. Mobilização Social</v>
      </c>
      <c r="B531" s="54">
        <f>IFERROR(__xludf.DUMMYFUNCTION("""COMPUTED_VALUE"""),45355.0)</f>
        <v>45355</v>
      </c>
      <c r="C531" s="48"/>
    </row>
    <row r="532">
      <c r="A532" s="48" t="str">
        <f>IFERROR(__xludf.DUMMYFUNCTION("""COMPUTED_VALUE"""),"24. Projetos ou atividades Específicos")</f>
        <v>24. Projetos ou atividades Específicos</v>
      </c>
      <c r="B532" s="54">
        <f>IFERROR(__xludf.DUMMYFUNCTION("""COMPUTED_VALUE"""),45355.0)</f>
        <v>45355</v>
      </c>
      <c r="C532" s="48"/>
    </row>
    <row r="533">
      <c r="A533" s="48" t="str">
        <f>IFERROR(__xludf.DUMMYFUNCTION("""COMPUTED_VALUE"""),"8. CBH – Reunião de Diretoria do CBH")</f>
        <v>8. CBH – Reunião de Diretoria do CBH</v>
      </c>
      <c r="B533" s="54">
        <f>IFERROR(__xludf.DUMMYFUNCTION("""COMPUTED_VALUE"""),45356.0)</f>
        <v>45356</v>
      </c>
      <c r="C533" s="48"/>
    </row>
    <row r="534">
      <c r="A534" s="48" t="str">
        <f>IFERROR(__xludf.DUMMYFUNCTION("""COMPUTED_VALUE"""),"20. Ação de Comunicação / Informação / Capacitação Externa")</f>
        <v>20. Ação de Comunicação / Informação / Capacitação Externa</v>
      </c>
      <c r="B534" s="54">
        <f>IFERROR(__xludf.DUMMYFUNCTION("""COMPUTED_VALUE"""),45356.0)</f>
        <v>45356</v>
      </c>
      <c r="C534" s="48"/>
    </row>
    <row r="535">
      <c r="A535" s="48" t="str">
        <f>IFERROR(__xludf.DUMMYFUNCTION("""COMPUTED_VALUE"""),"20. Ação de Comunicação / Informação / Capacitação Externa")</f>
        <v>20. Ação de Comunicação / Informação / Capacitação Externa</v>
      </c>
      <c r="B535" s="54">
        <f>IFERROR(__xludf.DUMMYFUNCTION("""COMPUTED_VALUE"""),45356.0)</f>
        <v>45356</v>
      </c>
      <c r="C535" s="48"/>
    </row>
    <row r="536">
      <c r="A536" s="48" t="str">
        <f>IFERROR(__xludf.DUMMYFUNCTION("""COMPUTED_VALUE"""),"24. Projetos ou atividades Específicos")</f>
        <v>24. Projetos ou atividades Específicos</v>
      </c>
      <c r="B536" s="54">
        <f>IFERROR(__xludf.DUMMYFUNCTION("""COMPUTED_VALUE"""),45356.0)</f>
        <v>45356</v>
      </c>
      <c r="C536" s="48"/>
    </row>
    <row r="537">
      <c r="A537" s="48" t="str">
        <f>IFERROR(__xludf.DUMMYFUNCTION("""COMPUTED_VALUE"""),"18. Mobilização Social")</f>
        <v>18. Mobilização Social</v>
      </c>
      <c r="B537" s="54">
        <f>IFERROR(__xludf.DUMMYFUNCTION("""COMPUTED_VALUE"""),45356.0)</f>
        <v>45356</v>
      </c>
      <c r="C537" s="48"/>
    </row>
    <row r="538">
      <c r="A538" s="48" t="str">
        <f>IFERROR(__xludf.DUMMYFUNCTION("""COMPUTED_VALUE"""),"24. Projetos ou atividades Específicos")</f>
        <v>24. Projetos ou atividades Específicos</v>
      </c>
      <c r="B538" s="54">
        <f>IFERROR(__xludf.DUMMYFUNCTION("""COMPUTED_VALUE"""),45356.0)</f>
        <v>45356</v>
      </c>
      <c r="C538" s="48"/>
    </row>
    <row r="539">
      <c r="A539" s="48" t="str">
        <f>IFERROR(__xludf.DUMMYFUNCTION("""COMPUTED_VALUE"""),"24. Projetos ou atividades Específicos")</f>
        <v>24. Projetos ou atividades Específicos</v>
      </c>
      <c r="B539" s="54">
        <f>IFERROR(__xludf.DUMMYFUNCTION("""COMPUTED_VALUE"""),45356.0)</f>
        <v>45356</v>
      </c>
      <c r="C539" s="48"/>
    </row>
    <row r="540">
      <c r="A540" s="48" t="str">
        <f>IFERROR(__xludf.DUMMYFUNCTION("""COMPUTED_VALUE"""),"25. Atividade Relacinada a Cobrança/Faturamento")</f>
        <v>25. Atividade Relacinada a Cobrança/Faturamento</v>
      </c>
      <c r="B540" s="54">
        <f>IFERROR(__xludf.DUMMYFUNCTION("""COMPUTED_VALUE"""),45357.0)</f>
        <v>45357</v>
      </c>
      <c r="C540" s="48"/>
    </row>
    <row r="541">
      <c r="A541" s="48" t="str">
        <f>IFERROR(__xludf.DUMMYFUNCTION("""COMPUTED_VALUE"""),"18. Mobilização Social")</f>
        <v>18. Mobilização Social</v>
      </c>
      <c r="B541" s="54">
        <f>IFERROR(__xludf.DUMMYFUNCTION("""COMPUTED_VALUE"""),45357.0)</f>
        <v>45357</v>
      </c>
      <c r="C541" s="48"/>
    </row>
    <row r="542">
      <c r="A542" s="48" t="str">
        <f>IFERROR(__xludf.DUMMYFUNCTION("""COMPUTED_VALUE"""),"24. Projetos ou atividades Específicos")</f>
        <v>24. Projetos ou atividades Específicos</v>
      </c>
      <c r="B542" s="54">
        <f>IFERROR(__xludf.DUMMYFUNCTION("""COMPUTED_VALUE"""),45357.0)</f>
        <v>45357</v>
      </c>
      <c r="C542" s="48"/>
    </row>
    <row r="543">
      <c r="A543" s="48" t="str">
        <f>IFERROR(__xludf.DUMMYFUNCTION("""COMPUTED_VALUE"""),"25. Atividade Relacinada a Cobrança/Faturamento")</f>
        <v>25. Atividade Relacinada a Cobrança/Faturamento</v>
      </c>
      <c r="B543" s="54">
        <f>IFERROR(__xludf.DUMMYFUNCTION("""COMPUTED_VALUE"""),45358.0)</f>
        <v>45358</v>
      </c>
      <c r="C543" s="48"/>
    </row>
    <row r="544">
      <c r="A544" s="48" t="str">
        <f>IFERROR(__xludf.DUMMYFUNCTION("""COMPUTED_VALUE"""),"24. Projetos ou atividades Específicos")</f>
        <v>24. Projetos ou atividades Específicos</v>
      </c>
      <c r="B544" s="54">
        <f>IFERROR(__xludf.DUMMYFUNCTION("""COMPUTED_VALUE"""),45358.0)</f>
        <v>45358</v>
      </c>
      <c r="C544" s="48"/>
    </row>
    <row r="545">
      <c r="A545" s="48" t="str">
        <f>IFERROR(__xludf.DUMMYFUNCTION("""COMPUTED_VALUE"""),"25. Atividade Relacinada a Cobrança/Faturamento")</f>
        <v>25. Atividade Relacinada a Cobrança/Faturamento</v>
      </c>
      <c r="B545" s="54">
        <f>IFERROR(__xludf.DUMMYFUNCTION("""COMPUTED_VALUE"""),-619383.0)</f>
        <v>-619383</v>
      </c>
      <c r="C545" s="48"/>
    </row>
    <row r="546">
      <c r="A546" s="48" t="str">
        <f>IFERROR(__xludf.DUMMYFUNCTION("""COMPUTED_VALUE"""),"20. Ação de Comunicação / Informação / Capacitação Externa")</f>
        <v>20. Ação de Comunicação / Informação / Capacitação Externa</v>
      </c>
      <c r="B546" s="54">
        <f>IFERROR(__xludf.DUMMYFUNCTION("""COMPUTED_VALUE"""),45359.0)</f>
        <v>45359</v>
      </c>
      <c r="C546" s="48"/>
    </row>
    <row r="547">
      <c r="A547" s="48" t="str">
        <f>IFERROR(__xludf.DUMMYFUNCTION("""COMPUTED_VALUE"""),"24. Projetos ou atividades Específicos")</f>
        <v>24. Projetos ou atividades Específicos</v>
      </c>
      <c r="B547" s="54">
        <f>IFERROR(__xludf.DUMMYFUNCTION("""COMPUTED_VALUE"""),45362.0)</f>
        <v>45362</v>
      </c>
      <c r="C547" s="48"/>
    </row>
    <row r="548">
      <c r="A548" s="48" t="str">
        <f>IFERROR(__xludf.DUMMYFUNCTION("""COMPUTED_VALUE"""),"18. Mobilização Social")</f>
        <v>18. Mobilização Social</v>
      </c>
      <c r="B548" s="54">
        <f>IFERROR(__xludf.DUMMYFUNCTION("""COMPUTED_VALUE"""),45362.0)</f>
        <v>45362</v>
      </c>
      <c r="C548" s="48"/>
    </row>
    <row r="549">
      <c r="A549" s="48" t="str">
        <f>IFERROR(__xludf.DUMMYFUNCTION("""COMPUTED_VALUE"""),"18. Mobilização Social")</f>
        <v>18. Mobilização Social</v>
      </c>
      <c r="B549" s="54">
        <f>IFERROR(__xludf.DUMMYFUNCTION("""COMPUTED_VALUE"""),45363.0)</f>
        <v>45363</v>
      </c>
      <c r="C549" s="48"/>
    </row>
    <row r="550">
      <c r="A550" s="48" t="str">
        <f>IFERROR(__xludf.DUMMYFUNCTION("""COMPUTED_VALUE"""),"24. Projetos ou atividades Específicos")</f>
        <v>24. Projetos ou atividades Específicos</v>
      </c>
      <c r="B550" s="54">
        <f>IFERROR(__xludf.DUMMYFUNCTION("""COMPUTED_VALUE"""),45363.0)</f>
        <v>45363</v>
      </c>
      <c r="C550" s="48"/>
    </row>
    <row r="551">
      <c r="A551" s="48" t="str">
        <f>IFERROR(__xludf.DUMMYFUNCTION("""COMPUTED_VALUE"""),"24. Projetos ou atividades Específicos")</f>
        <v>24. Projetos ou atividades Específicos</v>
      </c>
      <c r="B551" s="54">
        <f>IFERROR(__xludf.DUMMYFUNCTION("""COMPUTED_VALUE"""),45363.0)</f>
        <v>45363</v>
      </c>
      <c r="C551" s="48"/>
    </row>
    <row r="552">
      <c r="A552" s="48" t="str">
        <f>IFERROR(__xludf.DUMMYFUNCTION("""COMPUTED_VALUE"""),"24. Projetos ou atividades Específicos")</f>
        <v>24. Projetos ou atividades Específicos</v>
      </c>
      <c r="B552" s="54">
        <f>IFERROR(__xludf.DUMMYFUNCTION("""COMPUTED_VALUE"""),45364.0)</f>
        <v>45364</v>
      </c>
      <c r="C552" s="48"/>
    </row>
    <row r="553">
      <c r="A553" s="48" t="str">
        <f>IFERROR(__xludf.DUMMYFUNCTION("""COMPUTED_VALUE"""),"20. Ação de Comunicação / Informação / Capacitação Externa")</f>
        <v>20. Ação de Comunicação / Informação / Capacitação Externa</v>
      </c>
      <c r="B553" s="54">
        <f>IFERROR(__xludf.DUMMYFUNCTION("""COMPUTED_VALUE"""),45364.0)</f>
        <v>45364</v>
      </c>
      <c r="C553" s="48"/>
    </row>
    <row r="554">
      <c r="A554" s="48" t="str">
        <f>IFERROR(__xludf.DUMMYFUNCTION("""COMPUTED_VALUE"""),"24. Projetos ou atividades Específicos")</f>
        <v>24. Projetos ou atividades Específicos</v>
      </c>
      <c r="B554" s="54">
        <f>IFERROR(__xludf.DUMMYFUNCTION("""COMPUTED_VALUE"""),45365.0)</f>
        <v>45365</v>
      </c>
      <c r="C554" s="48"/>
    </row>
    <row r="555">
      <c r="A555" s="48" t="str">
        <f>IFERROR(__xludf.DUMMYFUNCTION("""COMPUTED_VALUE"""),"20. Ação de Comunicação / Informação / Capacitação Externa")</f>
        <v>20. Ação de Comunicação / Informação / Capacitação Externa</v>
      </c>
      <c r="B555" s="54">
        <f>IFERROR(__xludf.DUMMYFUNCTION("""COMPUTED_VALUE"""),45365.0)</f>
        <v>45365</v>
      </c>
      <c r="C555" s="48"/>
    </row>
    <row r="556">
      <c r="A556" s="48" t="str">
        <f>IFERROR(__xludf.DUMMYFUNCTION("""COMPUTED_VALUE"""),"20. Ação de Comunicação / Informação / Capacitação Externa")</f>
        <v>20. Ação de Comunicação / Informação / Capacitação Externa</v>
      </c>
      <c r="B556" s="54">
        <f>IFERROR(__xludf.DUMMYFUNCTION("""COMPUTED_VALUE"""),45366.0)</f>
        <v>45366</v>
      </c>
      <c r="C556" s="48"/>
    </row>
    <row r="557">
      <c r="A557" s="48" t="str">
        <f>IFERROR(__xludf.DUMMYFUNCTION("""COMPUTED_VALUE"""),"24. Projetos ou atividades Específicos")</f>
        <v>24. Projetos ou atividades Específicos</v>
      </c>
      <c r="B557" s="54">
        <f>IFERROR(__xludf.DUMMYFUNCTION("""COMPUTED_VALUE"""),45368.0)</f>
        <v>45368</v>
      </c>
      <c r="C557" s="48"/>
    </row>
    <row r="558">
      <c r="A558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558" s="54">
        <f>IFERROR(__xludf.DUMMYFUNCTION("""COMPUTED_VALUE"""),45369.0)</f>
        <v>45369</v>
      </c>
      <c r="C558" s="48"/>
    </row>
    <row r="559">
      <c r="A559" s="48" t="str">
        <f>IFERROR(__xludf.DUMMYFUNCTION("""COMPUTED_VALUE"""),"24. Projetos ou atividades Específicos")</f>
        <v>24. Projetos ou atividades Específicos</v>
      </c>
      <c r="B559" s="54">
        <f>IFERROR(__xludf.DUMMYFUNCTION("""COMPUTED_VALUE"""),45369.0)</f>
        <v>45369</v>
      </c>
      <c r="C559" s="48"/>
    </row>
    <row r="560">
      <c r="A560" s="48" t="str">
        <f>IFERROR(__xludf.DUMMYFUNCTION("""COMPUTED_VALUE"""),"20. Ação de Comunicação / Informação / Capacitação Externa")</f>
        <v>20. Ação de Comunicação / Informação / Capacitação Externa</v>
      </c>
      <c r="B560" s="54">
        <f>IFERROR(__xludf.DUMMYFUNCTION("""COMPUTED_VALUE"""),45369.0)</f>
        <v>45369</v>
      </c>
      <c r="C560" s="48"/>
    </row>
    <row r="561">
      <c r="A561" s="48"/>
      <c r="B561" s="54">
        <f>IFERROR(__xludf.DUMMYFUNCTION("""COMPUTED_VALUE"""),45341.0)</f>
        <v>45341</v>
      </c>
      <c r="C561" s="48"/>
    </row>
    <row r="562">
      <c r="A562" s="48" t="str">
        <f>IFERROR(__xludf.DUMMYFUNCTION("""COMPUTED_VALUE"""),"18. Mobilização Social")</f>
        <v>18. Mobilização Social</v>
      </c>
      <c r="B562" s="54">
        <f>IFERROR(__xludf.DUMMYFUNCTION("""COMPUTED_VALUE"""),45371.0)</f>
        <v>45371</v>
      </c>
      <c r="C562" s="48"/>
    </row>
    <row r="563">
      <c r="A563" s="48" t="str">
        <f>IFERROR(__xludf.DUMMYFUNCTION("""COMPUTED_VALUE"""),"18. Mobilização Social")</f>
        <v>18. Mobilização Social</v>
      </c>
      <c r="B563" s="54">
        <f>IFERROR(__xludf.DUMMYFUNCTION("""COMPUTED_VALUE"""),45371.0)</f>
        <v>45371</v>
      </c>
      <c r="C563" s="48"/>
    </row>
    <row r="564">
      <c r="A564" s="48" t="str">
        <f>IFERROR(__xludf.DUMMYFUNCTION("""COMPUTED_VALUE"""),"24. Projetos ou atividades Específicos")</f>
        <v>24. Projetos ou atividades Específicos</v>
      </c>
      <c r="B564" s="54">
        <f>IFERROR(__xludf.DUMMYFUNCTION("""COMPUTED_VALUE"""),45371.0)</f>
        <v>45371</v>
      </c>
      <c r="C564" s="48"/>
    </row>
    <row r="565">
      <c r="A565" s="48" t="str">
        <f>IFERROR(__xludf.DUMMYFUNCTION("""COMPUTED_VALUE"""),"24. Projetos ou atividades Específicos")</f>
        <v>24. Projetos ou atividades Específicos</v>
      </c>
      <c r="B565" s="54">
        <f>IFERROR(__xludf.DUMMYFUNCTION("""COMPUTED_VALUE"""),45372.0)</f>
        <v>45372</v>
      </c>
      <c r="C565" s="48"/>
    </row>
    <row r="566">
      <c r="A566" s="48" t="str">
        <f>IFERROR(__xludf.DUMMYFUNCTION("""COMPUTED_VALUE"""),"18. Mobilização Social")</f>
        <v>18. Mobilização Social</v>
      </c>
      <c r="B566" s="54">
        <f>IFERROR(__xludf.DUMMYFUNCTION("""COMPUTED_VALUE"""),45372.0)</f>
        <v>45372</v>
      </c>
      <c r="C566" s="48"/>
    </row>
    <row r="567">
      <c r="A567" s="48" t="str">
        <f>IFERROR(__xludf.DUMMYFUNCTION("""COMPUTED_VALUE"""),"18. Mobilização Social")</f>
        <v>18. Mobilização Social</v>
      </c>
      <c r="B567" s="54">
        <f>IFERROR(__xludf.DUMMYFUNCTION("""COMPUTED_VALUE"""),45373.0)</f>
        <v>45373</v>
      </c>
      <c r="C567" s="48"/>
    </row>
    <row r="568">
      <c r="A568" s="48" t="str">
        <f>IFERROR(__xludf.DUMMYFUNCTION("""COMPUTED_VALUE"""),"21. Projetos Especiais")</f>
        <v>21. Projetos Especiais</v>
      </c>
      <c r="B568" s="54">
        <f>IFERROR(__xludf.DUMMYFUNCTION("""COMPUTED_VALUE"""),45373.0)</f>
        <v>45373</v>
      </c>
      <c r="C568" s="48"/>
    </row>
    <row r="569">
      <c r="A569" s="48" t="str">
        <f>IFERROR(__xludf.DUMMYFUNCTION("""COMPUTED_VALUE"""),"20. Ação de Comunicação / Informação / Capacitação Externa")</f>
        <v>20. Ação de Comunicação / Informação / Capacitação Externa</v>
      </c>
      <c r="B569" s="54">
        <f>IFERROR(__xludf.DUMMYFUNCTION("""COMPUTED_VALUE"""),45373.0)</f>
        <v>45373</v>
      </c>
      <c r="C569" s="48"/>
    </row>
    <row r="570">
      <c r="A570" s="48" t="str">
        <f>IFERROR(__xludf.DUMMYFUNCTION("""COMPUTED_VALUE"""),"20. Ação de Comunicação / Informação / Capacitação Externa")</f>
        <v>20. Ação de Comunicação / Informação / Capacitação Externa</v>
      </c>
      <c r="B570" s="54">
        <f>IFERROR(__xludf.DUMMYFUNCTION("""COMPUTED_VALUE"""),45373.0)</f>
        <v>45373</v>
      </c>
      <c r="C570" s="48"/>
    </row>
    <row r="571">
      <c r="A571" s="48"/>
      <c r="B571" s="54">
        <f>IFERROR(__xludf.DUMMYFUNCTION("""COMPUTED_VALUE"""),45376.0)</f>
        <v>45376</v>
      </c>
      <c r="C571" s="48"/>
    </row>
    <row r="572">
      <c r="A572" s="48" t="str">
        <f>IFERROR(__xludf.DUMMYFUNCTION("""COMPUTED_VALUE"""),"20. Ação de Comunicação / Informação / Capacitação Externa")</f>
        <v>20. Ação de Comunicação / Informação / Capacitação Externa</v>
      </c>
      <c r="B572" s="54">
        <f>IFERROR(__xludf.DUMMYFUNCTION("""COMPUTED_VALUE"""),45377.0)</f>
        <v>45377</v>
      </c>
      <c r="C572" s="48"/>
    </row>
    <row r="573">
      <c r="A573" s="48" t="str">
        <f>IFERROR(__xludf.DUMMYFUNCTION("""COMPUTED_VALUE"""),"26. Outro")</f>
        <v>26. Outro</v>
      </c>
      <c r="B573" s="54">
        <f>IFERROR(__xludf.DUMMYFUNCTION("""COMPUTED_VALUE"""),45378.0)</f>
        <v>45378</v>
      </c>
      <c r="C573" s="48"/>
    </row>
    <row r="574">
      <c r="A574" s="48" t="str">
        <f>IFERROR(__xludf.DUMMYFUNCTION("""COMPUTED_VALUE"""),"24. Projetos ou atividades Específicos")</f>
        <v>24. Projetos ou atividades Específicos</v>
      </c>
      <c r="B574" s="54">
        <f>IFERROR(__xludf.DUMMYFUNCTION("""COMPUTED_VALUE"""),45379.0)</f>
        <v>45379</v>
      </c>
      <c r="C574" s="48"/>
    </row>
    <row r="575">
      <c r="A575" s="48"/>
      <c r="B575" s="54">
        <f>IFERROR(__xludf.DUMMYFUNCTION("""COMPUTED_VALUE"""),45380.0)</f>
        <v>45380</v>
      </c>
      <c r="C575" s="48"/>
    </row>
    <row r="576">
      <c r="A576" s="48"/>
      <c r="B576" s="54"/>
      <c r="C576" s="48"/>
    </row>
    <row r="577">
      <c r="A577" s="48" t="str">
        <f>IFERROR(__xludf.DUMMYFUNCTION("""COMPUTED_VALUE"""),"18. Mobilização Social")</f>
        <v>18. Mobilização Social</v>
      </c>
      <c r="B577" s="54">
        <f>IFERROR(__xludf.DUMMYFUNCTION("""COMPUTED_VALUE"""),45383.0)</f>
        <v>45383</v>
      </c>
      <c r="C577" s="48"/>
    </row>
    <row r="578">
      <c r="A578" s="48" t="str">
        <f>IFERROR(__xludf.DUMMYFUNCTION("""COMPUTED_VALUE"""),"18. Mobilização Social")</f>
        <v>18. Mobilização Social</v>
      </c>
      <c r="B578" s="54">
        <f>IFERROR(__xludf.DUMMYFUNCTION("""COMPUTED_VALUE"""),45383.0)</f>
        <v>45383</v>
      </c>
      <c r="C578" s="48"/>
    </row>
    <row r="579">
      <c r="A579" s="48" t="str">
        <f>IFERROR(__xludf.DUMMYFUNCTION("""COMPUTED_VALUE"""),"26. Outro")</f>
        <v>26. Outro</v>
      </c>
      <c r="B579" s="54">
        <f>IFERROR(__xludf.DUMMYFUNCTION("""COMPUTED_VALUE"""),45383.0)</f>
        <v>45383</v>
      </c>
      <c r="C579" s="48"/>
    </row>
    <row r="580">
      <c r="A580" s="48" t="str">
        <f>IFERROR(__xludf.DUMMYFUNCTION("""COMPUTED_VALUE"""),"18. Mobilização Social")</f>
        <v>18. Mobilização Social</v>
      </c>
      <c r="B580" s="54">
        <f>IFERROR(__xludf.DUMMYFUNCTION("""COMPUTED_VALUE"""),45383.0)</f>
        <v>45383</v>
      </c>
      <c r="C580" s="48"/>
    </row>
    <row r="581">
      <c r="A581" s="48" t="str">
        <f>IFERROR(__xludf.DUMMYFUNCTION("""COMPUTED_VALUE"""),"20. Ação de Comunicação / Informação / Capacitação Externa")</f>
        <v>20. Ação de Comunicação / Informação / Capacitação Externa</v>
      </c>
      <c r="B581" s="54">
        <f>IFERROR(__xludf.DUMMYFUNCTION("""COMPUTED_VALUE"""),45384.0)</f>
        <v>45384</v>
      </c>
      <c r="C581" s="48"/>
    </row>
    <row r="582">
      <c r="A582" s="48" t="str">
        <f>IFERROR(__xludf.DUMMYFUNCTION("""COMPUTED_VALUE"""),"24. Projetos ou atividades Específicos")</f>
        <v>24. Projetos ou atividades Específicos</v>
      </c>
      <c r="B582" s="54">
        <f>IFERROR(__xludf.DUMMYFUNCTION("""COMPUTED_VALUE"""),45384.0)</f>
        <v>45384</v>
      </c>
      <c r="C582" s="48"/>
    </row>
    <row r="583">
      <c r="A583" s="48" t="str">
        <f>IFERROR(__xludf.DUMMYFUNCTION("""COMPUTED_VALUE"""),"11. CBH – Processo de Renovação do Comitê")</f>
        <v>11. CBH – Processo de Renovação do Comitê</v>
      </c>
      <c r="B583" s="54">
        <f>IFERROR(__xludf.DUMMYFUNCTION("""COMPUTED_VALUE"""),45385.0)</f>
        <v>45385</v>
      </c>
      <c r="C583" s="48"/>
    </row>
    <row r="584">
      <c r="A584" s="48" t="str">
        <f>IFERROR(__xludf.DUMMYFUNCTION("""COMPUTED_VALUE"""),"20. Ação de Comunicação / Informação / Capacitação Externa")</f>
        <v>20. Ação de Comunicação / Informação / Capacitação Externa</v>
      </c>
      <c r="B584" s="54">
        <f>IFERROR(__xludf.DUMMYFUNCTION("""COMPUTED_VALUE"""),45385.0)</f>
        <v>45385</v>
      </c>
      <c r="C584" s="48"/>
    </row>
    <row r="585">
      <c r="A585" s="48" t="str">
        <f>IFERROR(__xludf.DUMMYFUNCTION("""COMPUTED_VALUE"""),"24. Projetos ou atividades Específicos")</f>
        <v>24. Projetos ou atividades Específicos</v>
      </c>
      <c r="B585" s="54">
        <f>IFERROR(__xludf.DUMMYFUNCTION("""COMPUTED_VALUE"""),45385.0)</f>
        <v>45385</v>
      </c>
      <c r="C585" s="48"/>
    </row>
    <row r="586">
      <c r="A586" s="48" t="str">
        <f>IFERROR(__xludf.DUMMYFUNCTION("""COMPUTED_VALUE"""),"24. Projetos ou atividades Específicos")</f>
        <v>24. Projetos ou atividades Específicos</v>
      </c>
      <c r="B586" s="54">
        <f>IFERROR(__xludf.DUMMYFUNCTION("""COMPUTED_VALUE"""),45386.0)</f>
        <v>45386</v>
      </c>
      <c r="C586" s="48"/>
    </row>
    <row r="587">
      <c r="A587" s="48" t="str">
        <f>IFERROR(__xludf.DUMMYFUNCTION("""COMPUTED_VALUE"""),"24. Projetos ou atividades Específicos")</f>
        <v>24. Projetos ou atividades Específicos</v>
      </c>
      <c r="B587" s="54">
        <f>IFERROR(__xludf.DUMMYFUNCTION("""COMPUTED_VALUE"""),45386.0)</f>
        <v>45386</v>
      </c>
      <c r="C587" s="48"/>
    </row>
    <row r="588">
      <c r="A588" s="48" t="str">
        <f>IFERROR(__xludf.DUMMYFUNCTION("""COMPUTED_VALUE"""),"24. Projetos ou atividades Específicos")</f>
        <v>24. Projetos ou atividades Específicos</v>
      </c>
      <c r="B588" s="54">
        <f>IFERROR(__xludf.DUMMYFUNCTION("""COMPUTED_VALUE"""),45386.0)</f>
        <v>45386</v>
      </c>
      <c r="C588" s="48"/>
    </row>
    <row r="589">
      <c r="A589" s="48" t="str">
        <f>IFERROR(__xludf.DUMMYFUNCTION("""COMPUTED_VALUE"""),"18. Mobilização Social")</f>
        <v>18. Mobilização Social</v>
      </c>
      <c r="B589" s="54">
        <f>IFERROR(__xludf.DUMMYFUNCTION("""COMPUTED_VALUE"""),45387.0)</f>
        <v>45387</v>
      </c>
      <c r="C589" s="48"/>
    </row>
    <row r="590">
      <c r="A590" s="48" t="str">
        <f>IFERROR(__xludf.DUMMYFUNCTION("""COMPUTED_VALUE"""),"24. Projetos ou atividades Específicos")</f>
        <v>24. Projetos ou atividades Específicos</v>
      </c>
      <c r="B590" s="54">
        <f>IFERROR(__xludf.DUMMYFUNCTION("""COMPUTED_VALUE"""),45387.0)</f>
        <v>45387</v>
      </c>
      <c r="C590" s="48"/>
    </row>
    <row r="591">
      <c r="A591" s="48" t="str">
        <f>IFERROR(__xludf.DUMMYFUNCTION("""COMPUTED_VALUE"""),"18. Mobilização Social")</f>
        <v>18. Mobilização Social</v>
      </c>
      <c r="B591" s="54">
        <f>IFERROR(__xludf.DUMMYFUNCTION("""COMPUTED_VALUE"""),45387.0)</f>
        <v>45387</v>
      </c>
      <c r="C591" s="48"/>
    </row>
    <row r="592">
      <c r="A592" s="48" t="str">
        <f>IFERROR(__xludf.DUMMYFUNCTION("""COMPUTED_VALUE"""),"25. Atividade Relacinada a Cobrança/Faturamento")</f>
        <v>25. Atividade Relacinada a Cobrança/Faturamento</v>
      </c>
      <c r="B592" s="54">
        <f>IFERROR(__xludf.DUMMYFUNCTION("""COMPUTED_VALUE"""),45390.0)</f>
        <v>45390</v>
      </c>
      <c r="C592" s="48"/>
    </row>
    <row r="593">
      <c r="A593" s="48" t="str">
        <f>IFERROR(__xludf.DUMMYFUNCTION("""COMPUTED_VALUE"""),"8. CBH – Reunião de Diretoria do CBH")</f>
        <v>8. CBH – Reunião de Diretoria do CBH</v>
      </c>
      <c r="B593" s="54">
        <f>IFERROR(__xludf.DUMMYFUNCTION("""COMPUTED_VALUE"""),45390.0)</f>
        <v>45390</v>
      </c>
      <c r="C593" s="48"/>
    </row>
    <row r="594">
      <c r="A594" s="48" t="str">
        <f>IFERROR(__xludf.DUMMYFUNCTION("""COMPUTED_VALUE"""),"20. Ação de Comunicação / Informação / Capacitação Externa")</f>
        <v>20. Ação de Comunicação / Informação / Capacitação Externa</v>
      </c>
      <c r="B594" s="54">
        <f>IFERROR(__xludf.DUMMYFUNCTION("""COMPUTED_VALUE"""),45390.0)</f>
        <v>45390</v>
      </c>
      <c r="C594" s="48"/>
    </row>
    <row r="595">
      <c r="A595" s="48" t="str">
        <f>IFERROR(__xludf.DUMMYFUNCTION("""COMPUTED_VALUE"""),"20. Ação de Comunicação / Informação / Capacitação Externa")</f>
        <v>20. Ação de Comunicação / Informação / Capacitação Externa</v>
      </c>
      <c r="B595" s="54">
        <f>IFERROR(__xludf.DUMMYFUNCTION("""COMPUTED_VALUE"""),45390.0)</f>
        <v>45390</v>
      </c>
      <c r="C595" s="48"/>
    </row>
    <row r="596">
      <c r="A596" s="48" t="str">
        <f>IFERROR(__xludf.DUMMYFUNCTION("""COMPUTED_VALUE"""),"25. Atividade Relacinada a Cobrança/Faturamento")</f>
        <v>25. Atividade Relacinada a Cobrança/Faturamento</v>
      </c>
      <c r="B596" s="54">
        <f>IFERROR(__xludf.DUMMYFUNCTION("""COMPUTED_VALUE"""),45391.0)</f>
        <v>45391</v>
      </c>
      <c r="C596" s="48"/>
    </row>
    <row r="597">
      <c r="A597" s="48" t="str">
        <f>IFERROR(__xludf.DUMMYFUNCTION("""COMPUTED_VALUE"""),"21. Projetos Especiais")</f>
        <v>21. Projetos Especiais</v>
      </c>
      <c r="B597" s="54">
        <f>IFERROR(__xludf.DUMMYFUNCTION("""COMPUTED_VALUE"""),45391.0)</f>
        <v>45391</v>
      </c>
      <c r="C597" s="48"/>
    </row>
    <row r="598">
      <c r="A598" s="48" t="str">
        <f>IFERROR(__xludf.DUMMYFUNCTION("""COMPUTED_VALUE"""),"21. Projetos Especiais")</f>
        <v>21. Projetos Especiais</v>
      </c>
      <c r="B598" s="54">
        <f>IFERROR(__xludf.DUMMYFUNCTION("""COMPUTED_VALUE"""),45391.0)</f>
        <v>45391</v>
      </c>
      <c r="C598" s="48"/>
    </row>
    <row r="599">
      <c r="A599" s="48" t="str">
        <f>IFERROR(__xludf.DUMMYFUNCTION("""COMPUTED_VALUE"""),"20. Ação de Comunicação / Informação / Capacitação Externa")</f>
        <v>20. Ação de Comunicação / Informação / Capacitação Externa</v>
      </c>
      <c r="B599" s="54">
        <f>IFERROR(__xludf.DUMMYFUNCTION("""COMPUTED_VALUE"""),45391.0)</f>
        <v>45391</v>
      </c>
      <c r="C599" s="48"/>
    </row>
    <row r="600">
      <c r="A600" s="48" t="str">
        <f>IFERROR(__xludf.DUMMYFUNCTION("""COMPUTED_VALUE"""),"25. Atividade Relacinada a Cobrança/Faturamento")</f>
        <v>25. Atividade Relacinada a Cobrança/Faturamento</v>
      </c>
      <c r="B600" s="54">
        <f>IFERROR(__xludf.DUMMYFUNCTION("""COMPUTED_VALUE"""),45392.0)</f>
        <v>45392</v>
      </c>
      <c r="C600" s="48"/>
    </row>
    <row r="601">
      <c r="A601" s="48" t="str">
        <f>IFERROR(__xludf.DUMMYFUNCTION("""COMPUTED_VALUE"""),"18. Mobilização Social")</f>
        <v>18. Mobilização Social</v>
      </c>
      <c r="B601" s="54">
        <f>IFERROR(__xludf.DUMMYFUNCTION("""COMPUTED_VALUE"""),45392.0)</f>
        <v>45392</v>
      </c>
      <c r="C601" s="48"/>
    </row>
    <row r="602">
      <c r="A602" s="48" t="str">
        <f>IFERROR(__xludf.DUMMYFUNCTION("""COMPUTED_VALUE"""),"20. Ação de Comunicação / Informação / Capacitação Externa")</f>
        <v>20. Ação de Comunicação / Informação / Capacitação Externa</v>
      </c>
      <c r="B602" s="54">
        <f>IFERROR(__xludf.DUMMYFUNCTION("""COMPUTED_VALUE"""),45392.0)</f>
        <v>45392</v>
      </c>
      <c r="C602" s="48"/>
    </row>
    <row r="603">
      <c r="A603" s="48" t="str">
        <f>IFERROR(__xludf.DUMMYFUNCTION("""COMPUTED_VALUE"""),"20. Ação de Comunicação / Informação / Capacitação Externa")</f>
        <v>20. Ação de Comunicação / Informação / Capacitação Externa</v>
      </c>
      <c r="B603" s="54">
        <f>IFERROR(__xludf.DUMMYFUNCTION("""COMPUTED_VALUE"""),45393.0)</f>
        <v>45393</v>
      </c>
      <c r="C603" s="48"/>
    </row>
    <row r="604">
      <c r="A604" s="48" t="str">
        <f>IFERROR(__xludf.DUMMYFUNCTION("""COMPUTED_VALUE"""),"21. Projetos Especiais")</f>
        <v>21. Projetos Especiais</v>
      </c>
      <c r="B604" s="54">
        <f>IFERROR(__xludf.DUMMYFUNCTION("""COMPUTED_VALUE"""),45393.0)</f>
        <v>45393</v>
      </c>
      <c r="C604" s="48"/>
    </row>
    <row r="605">
      <c r="A605" s="48" t="str">
        <f>IFERROR(__xludf.DUMMYFUNCTION("""COMPUTED_VALUE"""),"21. Projetos Especiais")</f>
        <v>21. Projetos Especiais</v>
      </c>
      <c r="B605" s="54">
        <f>IFERROR(__xludf.DUMMYFUNCTION("""COMPUTED_VALUE"""),45394.0)</f>
        <v>45394</v>
      </c>
      <c r="C605" s="48"/>
    </row>
    <row r="606">
      <c r="A606" s="48" t="str">
        <f>IFERROR(__xludf.DUMMYFUNCTION("""COMPUTED_VALUE"""),"20. Ação de Comunicação / Informação / Capacitação Externa")</f>
        <v>20. Ação de Comunicação / Informação / Capacitação Externa</v>
      </c>
      <c r="B606" s="54">
        <f>IFERROR(__xludf.DUMMYFUNCTION("""COMPUTED_VALUE"""),45394.0)</f>
        <v>45394</v>
      </c>
      <c r="C606" s="48"/>
    </row>
    <row r="607">
      <c r="A607" s="48" t="str">
        <f>IFERROR(__xludf.DUMMYFUNCTION("""COMPUTED_VALUE"""),"24. Projetos ou atividades Específicos")</f>
        <v>24. Projetos ou atividades Específicos</v>
      </c>
      <c r="B607" s="54">
        <f>IFERROR(__xludf.DUMMYFUNCTION("""COMPUTED_VALUE"""),45397.0)</f>
        <v>45397</v>
      </c>
      <c r="C607" s="48"/>
    </row>
    <row r="608">
      <c r="A608" s="48" t="str">
        <f>IFERROR(__xludf.DUMMYFUNCTION("""COMPUTED_VALUE"""),"24. Projetos ou atividades Específicos")</f>
        <v>24. Projetos ou atividades Específicos</v>
      </c>
      <c r="B608" s="54">
        <f>IFERROR(__xludf.DUMMYFUNCTION("""COMPUTED_VALUE"""),45397.0)</f>
        <v>45397</v>
      </c>
      <c r="C608" s="48"/>
    </row>
    <row r="609">
      <c r="A609" s="48" t="str">
        <f>IFERROR(__xludf.DUMMYFUNCTION("""COMPUTED_VALUE"""),"20. Ação de Comunicação / Informação / Capacitação Externa")</f>
        <v>20. Ação de Comunicação / Informação / Capacitação Externa</v>
      </c>
      <c r="B609" s="54">
        <f>IFERROR(__xludf.DUMMYFUNCTION("""COMPUTED_VALUE"""),45397.0)</f>
        <v>45397</v>
      </c>
      <c r="C609" s="48"/>
    </row>
    <row r="610">
      <c r="A610" s="48" t="str">
        <f>IFERROR(__xludf.DUMMYFUNCTION("""COMPUTED_VALUE"""),"20. Ação de Comunicação / Informação / Capacitação Externa")</f>
        <v>20. Ação de Comunicação / Informação / Capacitação Externa</v>
      </c>
      <c r="B610" s="54">
        <f>IFERROR(__xludf.DUMMYFUNCTION("""COMPUTED_VALUE"""),45397.0)</f>
        <v>45397</v>
      </c>
      <c r="C610" s="48"/>
    </row>
    <row r="611">
      <c r="A611" s="48" t="str">
        <f>IFERROR(__xludf.DUMMYFUNCTION("""COMPUTED_VALUE"""),"20. Ação de Comunicação / Informação / Capacitação Externa")</f>
        <v>20. Ação de Comunicação / Informação / Capacitação Externa</v>
      </c>
      <c r="B611" s="54">
        <f>IFERROR(__xludf.DUMMYFUNCTION("""COMPUTED_VALUE"""),45398.0)</f>
        <v>45398</v>
      </c>
      <c r="C611" s="48"/>
    </row>
    <row r="612">
      <c r="A612" s="48" t="str">
        <f>IFERROR(__xludf.DUMMYFUNCTION("""COMPUTED_VALUE"""),"24. Projetos ou atividades Específicos")</f>
        <v>24. Projetos ou atividades Específicos</v>
      </c>
      <c r="B612" s="54">
        <f>IFERROR(__xludf.DUMMYFUNCTION("""COMPUTED_VALUE"""),45398.0)</f>
        <v>45398</v>
      </c>
      <c r="C612" s="48"/>
    </row>
    <row r="613">
      <c r="A613" s="48" t="str">
        <f>IFERROR(__xludf.DUMMYFUNCTION("""COMPUTED_VALUE"""),"20. Ação de Comunicação / Informação / Capacitação Externa")</f>
        <v>20. Ação de Comunicação / Informação / Capacitação Externa</v>
      </c>
      <c r="B613" s="54">
        <f>IFERROR(__xludf.DUMMYFUNCTION("""COMPUTED_VALUE"""),45400.0)</f>
        <v>45400</v>
      </c>
      <c r="C613" s="48"/>
    </row>
    <row r="614">
      <c r="A614" s="48" t="str">
        <f>IFERROR(__xludf.DUMMYFUNCTION("""COMPUTED_VALUE"""),"24. Projetos ou atividades Específicos")</f>
        <v>24. Projetos ou atividades Específicos</v>
      </c>
      <c r="B614" s="54">
        <f>IFERROR(__xludf.DUMMYFUNCTION("""COMPUTED_VALUE"""),45401.0)</f>
        <v>45401</v>
      </c>
      <c r="C614" s="48"/>
    </row>
    <row r="615">
      <c r="A615" s="48" t="str">
        <f>IFERROR(__xludf.DUMMYFUNCTION("""COMPUTED_VALUE"""),"20. Ação de Comunicação / Informação / Capacitação Externa")</f>
        <v>20. Ação de Comunicação / Informação / Capacitação Externa</v>
      </c>
      <c r="B615" s="54">
        <f>IFERROR(__xludf.DUMMYFUNCTION("""COMPUTED_VALUE"""),45401.0)</f>
        <v>45401</v>
      </c>
      <c r="C615" s="48"/>
    </row>
    <row r="616">
      <c r="A616" s="48" t="str">
        <f>IFERROR(__xludf.DUMMYFUNCTION("""COMPUTED_VALUE"""),"18. Mobilização Social")</f>
        <v>18. Mobilização Social</v>
      </c>
      <c r="B616" s="54">
        <f>IFERROR(__xludf.DUMMYFUNCTION("""COMPUTED_VALUE"""),45404.0)</f>
        <v>45404</v>
      </c>
      <c r="C616" s="48"/>
    </row>
    <row r="617">
      <c r="A617" s="48" t="str">
        <f>IFERROR(__xludf.DUMMYFUNCTION("""COMPUTED_VALUE"""),"21. Projetos Especiais")</f>
        <v>21. Projetos Especiais</v>
      </c>
      <c r="B617" s="54">
        <f>IFERROR(__xludf.DUMMYFUNCTION("""COMPUTED_VALUE"""),45404.0)</f>
        <v>45404</v>
      </c>
      <c r="C617" s="48"/>
    </row>
    <row r="618">
      <c r="A618" s="48" t="str">
        <f>IFERROR(__xludf.DUMMYFUNCTION("""COMPUTED_VALUE"""),"20. Ação de Comunicação / Informação / Capacitação Externa")</f>
        <v>20. Ação de Comunicação / Informação / Capacitação Externa</v>
      </c>
      <c r="B618" s="54">
        <f>IFERROR(__xludf.DUMMYFUNCTION("""COMPUTED_VALUE"""),45404.0)</f>
        <v>45404</v>
      </c>
      <c r="C618" s="48"/>
    </row>
    <row r="619">
      <c r="A619" s="48" t="str">
        <f>IFERROR(__xludf.DUMMYFUNCTION("""COMPUTED_VALUE"""),"12. CBH – Reunião do Fórum Cearense de Comitê")</f>
        <v>12. CBH – Reunião do Fórum Cearense de Comitê</v>
      </c>
      <c r="B619" s="54">
        <f>IFERROR(__xludf.DUMMYFUNCTION("""COMPUTED_VALUE"""),45405.0)</f>
        <v>45405</v>
      </c>
      <c r="C619" s="48"/>
    </row>
    <row r="620">
      <c r="A620" s="48" t="str">
        <f>IFERROR(__xludf.DUMMYFUNCTION("""COMPUTED_VALUE"""),"20. Ação de Comunicação / Informação / Capacitação Externa")</f>
        <v>20. Ação de Comunicação / Informação / Capacitação Externa</v>
      </c>
      <c r="B620" s="54">
        <f>IFERROR(__xludf.DUMMYFUNCTION("""COMPUTED_VALUE"""),45406.0)</f>
        <v>45406</v>
      </c>
      <c r="C620" s="48"/>
    </row>
    <row r="621">
      <c r="A621" s="48" t="str">
        <f>IFERROR(__xludf.DUMMYFUNCTION("""COMPUTED_VALUE"""),"21. Projetos Especiais")</f>
        <v>21. Projetos Especiais</v>
      </c>
      <c r="B621" s="54">
        <f>IFERROR(__xludf.DUMMYFUNCTION("""COMPUTED_VALUE"""),45407.0)</f>
        <v>45407</v>
      </c>
      <c r="C621" s="48"/>
    </row>
    <row r="622">
      <c r="A622" s="48" t="str">
        <f>IFERROR(__xludf.DUMMYFUNCTION("""COMPUTED_VALUE"""),"18. Mobilização Social")</f>
        <v>18. Mobilização Social</v>
      </c>
      <c r="B622" s="54">
        <f>IFERROR(__xludf.DUMMYFUNCTION("""COMPUTED_VALUE"""),45407.0)</f>
        <v>45407</v>
      </c>
      <c r="C622" s="48"/>
    </row>
    <row r="623">
      <c r="A623" s="48" t="str">
        <f>IFERROR(__xludf.DUMMYFUNCTION("""COMPUTED_VALUE"""),"24. Projetos ou atividades Específicos")</f>
        <v>24. Projetos ou atividades Específicos</v>
      </c>
      <c r="B623" s="54">
        <f>IFERROR(__xludf.DUMMYFUNCTION("""COMPUTED_VALUE"""),45411.0)</f>
        <v>45411</v>
      </c>
      <c r="C623" s="48"/>
    </row>
    <row r="624">
      <c r="A624" s="48" t="str">
        <f>IFERROR(__xludf.DUMMYFUNCTION("""COMPUTED_VALUE"""),"24. Projetos ou atividades Específicos")</f>
        <v>24. Projetos ou atividades Específicos</v>
      </c>
      <c r="B624" s="54">
        <f>IFERROR(__xludf.DUMMYFUNCTION("""COMPUTED_VALUE"""),45412.0)</f>
        <v>45412</v>
      </c>
      <c r="C624" s="48"/>
    </row>
    <row r="625">
      <c r="A625" s="48" t="str">
        <f>IFERROR(__xludf.DUMMYFUNCTION("""COMPUTED_VALUE"""),"20. Ação de Comunicação / Informação / Capacitação Externa")</f>
        <v>20. Ação de Comunicação / Informação / Capacitação Externa</v>
      </c>
      <c r="B625" s="54">
        <f>IFERROR(__xludf.DUMMYFUNCTION("""COMPUTED_VALUE"""),45412.0)</f>
        <v>45412</v>
      </c>
      <c r="C625" s="48"/>
    </row>
    <row r="626">
      <c r="A626" s="48" t="str">
        <f>IFERROR(__xludf.DUMMYFUNCTION("""COMPUTED_VALUE"""),"20. Ação de Comunicação / Informação / Capacitação Externa")</f>
        <v>20. Ação de Comunicação / Informação / Capacitação Externa</v>
      </c>
      <c r="B626" s="54">
        <f>IFERROR(__xludf.DUMMYFUNCTION("""COMPUTED_VALUE"""),45412.0)</f>
        <v>45412</v>
      </c>
      <c r="C626" s="48"/>
    </row>
    <row r="627">
      <c r="A627" s="48" t="str">
        <f>IFERROR(__xludf.DUMMYFUNCTION("""COMPUTED_VALUE"""),"21. Projetos Especiais")</f>
        <v>21. Projetos Especiais</v>
      </c>
      <c r="B627" s="54">
        <f>IFERROR(__xludf.DUMMYFUNCTION("""COMPUTED_VALUE"""),45412.0)</f>
        <v>45412</v>
      </c>
      <c r="C627" s="48"/>
    </row>
    <row r="628">
      <c r="A628" s="48" t="str">
        <f>IFERROR(__xludf.DUMMYFUNCTION("""COMPUTED_VALUE"""),"24. Projetos ou atividades Específicos")</f>
        <v>24. Projetos ou atividades Específicos</v>
      </c>
      <c r="B628" s="54">
        <f>IFERROR(__xludf.DUMMYFUNCTION("""COMPUTED_VALUE"""),45412.0)</f>
        <v>45412</v>
      </c>
      <c r="C628" s="48"/>
    </row>
    <row r="629">
      <c r="A629" s="48"/>
      <c r="B629" s="54"/>
      <c r="C629" s="48"/>
    </row>
    <row r="630">
      <c r="A630" s="48"/>
      <c r="B630" s="54">
        <f>IFERROR(__xludf.DUMMYFUNCTION("""COMPUTED_VALUE"""),45413.0)</f>
        <v>45413</v>
      </c>
      <c r="C630" s="48"/>
    </row>
    <row r="631">
      <c r="A631" s="48" t="str">
        <f>IFERROR(__xludf.DUMMYFUNCTION("""COMPUTED_VALUE"""),"20. Ação de Comunicação / Informação / Capacitação Externa")</f>
        <v>20. Ação de Comunicação / Informação / Capacitação Externa</v>
      </c>
      <c r="B631" s="54">
        <f>IFERROR(__xludf.DUMMYFUNCTION("""COMPUTED_VALUE"""),45413.0)</f>
        <v>45413</v>
      </c>
      <c r="C631" s="48"/>
    </row>
    <row r="632">
      <c r="A632" s="48" t="str">
        <f>IFERROR(__xludf.DUMMYFUNCTION("""COMPUTED_VALUE"""),"24. Projetos ou atividades Específicos")</f>
        <v>24. Projetos ou atividades Específicos</v>
      </c>
      <c r="B632" s="54">
        <f>IFERROR(__xludf.DUMMYFUNCTION("""COMPUTED_VALUE"""),45414.0)</f>
        <v>45414</v>
      </c>
      <c r="C632" s="48"/>
    </row>
    <row r="633">
      <c r="A633" s="48" t="str">
        <f>IFERROR(__xludf.DUMMYFUNCTION("""COMPUTED_VALUE"""),"20. Ação de Comunicação / Informação / Capacitação Externa")</f>
        <v>20. Ação de Comunicação / Informação / Capacitação Externa</v>
      </c>
      <c r="B633" s="54">
        <f>IFERROR(__xludf.DUMMYFUNCTION("""COMPUTED_VALUE"""),45414.0)</f>
        <v>45414</v>
      </c>
      <c r="C633" s="48"/>
    </row>
    <row r="634">
      <c r="A634" s="48" t="str">
        <f>IFERROR(__xludf.DUMMYFUNCTION("""COMPUTED_VALUE"""),"24. Projetos ou atividades Específicos")</f>
        <v>24. Projetos ou atividades Específicos</v>
      </c>
      <c r="B634" s="54">
        <f>IFERROR(__xludf.DUMMYFUNCTION("""COMPUTED_VALUE"""),45414.0)</f>
        <v>45414</v>
      </c>
      <c r="C634" s="48"/>
    </row>
    <row r="635">
      <c r="A635" s="48" t="str">
        <f>IFERROR(__xludf.DUMMYFUNCTION("""COMPUTED_VALUE"""),"24. Projetos ou atividades Específicos")</f>
        <v>24. Projetos ou atividades Específicos</v>
      </c>
      <c r="B635" s="54">
        <f>IFERROR(__xludf.DUMMYFUNCTION("""COMPUTED_VALUE"""),45414.0)</f>
        <v>45414</v>
      </c>
      <c r="C635" s="48"/>
    </row>
    <row r="636">
      <c r="A636" s="48" t="str">
        <f>IFERROR(__xludf.DUMMYFUNCTION("""COMPUTED_VALUE"""),"11. CBH – Processo de Renovação do Comitê")</f>
        <v>11. CBH – Processo de Renovação do Comitê</v>
      </c>
      <c r="B636" s="54">
        <f>IFERROR(__xludf.DUMMYFUNCTION("""COMPUTED_VALUE"""),45414.0)</f>
        <v>45414</v>
      </c>
      <c r="C636" s="48"/>
    </row>
    <row r="637">
      <c r="A637" s="48" t="str">
        <f>IFERROR(__xludf.DUMMYFUNCTION("""COMPUTED_VALUE"""),"18. Mobilização Social")</f>
        <v>18. Mobilização Social</v>
      </c>
      <c r="B637" s="54">
        <f>IFERROR(__xludf.DUMMYFUNCTION("""COMPUTED_VALUE"""),45414.0)</f>
        <v>45414</v>
      </c>
      <c r="C637" s="48"/>
    </row>
    <row r="638">
      <c r="A638" s="48" t="str">
        <f>IFERROR(__xludf.DUMMYFUNCTION("""COMPUTED_VALUE"""),"18. Mobilização Social")</f>
        <v>18. Mobilização Social</v>
      </c>
      <c r="B638" s="54">
        <f>IFERROR(__xludf.DUMMYFUNCTION("""COMPUTED_VALUE"""),45415.0)</f>
        <v>45415</v>
      </c>
      <c r="C638" s="48"/>
    </row>
    <row r="639">
      <c r="A639" s="48" t="str">
        <f>IFERROR(__xludf.DUMMYFUNCTION("""COMPUTED_VALUE"""),"24. Projetos ou atividades Específicos")</f>
        <v>24. Projetos ou atividades Específicos</v>
      </c>
      <c r="B639" s="54">
        <f>IFERROR(__xludf.DUMMYFUNCTION("""COMPUTED_VALUE"""),45415.0)</f>
        <v>45415</v>
      </c>
      <c r="C639" s="48"/>
    </row>
    <row r="640">
      <c r="A640" s="48" t="str">
        <f>IFERROR(__xludf.DUMMYFUNCTION("""COMPUTED_VALUE"""),"18. Mobilização Social")</f>
        <v>18. Mobilização Social</v>
      </c>
      <c r="B640" s="54">
        <f>IFERROR(__xludf.DUMMYFUNCTION("""COMPUTED_VALUE"""),45418.0)</f>
        <v>45418</v>
      </c>
      <c r="C640" s="48"/>
    </row>
    <row r="641">
      <c r="A641" s="48" t="str">
        <f>IFERROR(__xludf.DUMMYFUNCTION("""COMPUTED_VALUE"""),"18. Mobilização Social")</f>
        <v>18. Mobilização Social</v>
      </c>
      <c r="B641" s="54">
        <f>IFERROR(__xludf.DUMMYFUNCTION("""COMPUTED_VALUE"""),45418.0)</f>
        <v>45418</v>
      </c>
      <c r="C641" s="48"/>
    </row>
    <row r="642">
      <c r="A642" s="48" t="str">
        <f>IFERROR(__xludf.DUMMYFUNCTION("""COMPUTED_VALUE"""),"24. Projetos ou atividades Específicos")</f>
        <v>24. Projetos ou atividades Específicos</v>
      </c>
      <c r="B642" s="54">
        <f>IFERROR(__xludf.DUMMYFUNCTION("""COMPUTED_VALUE"""),45418.0)</f>
        <v>45418</v>
      </c>
      <c r="C642" s="48"/>
    </row>
    <row r="643">
      <c r="A643" s="48" t="str">
        <f>IFERROR(__xludf.DUMMYFUNCTION("""COMPUTED_VALUE"""),"20. Ação de Comunicação / Informação / Capacitação Externa")</f>
        <v>20. Ação de Comunicação / Informação / Capacitação Externa</v>
      </c>
      <c r="B643" s="54">
        <f>IFERROR(__xludf.DUMMYFUNCTION("""COMPUTED_VALUE"""),45418.0)</f>
        <v>45418</v>
      </c>
      <c r="C643" s="48"/>
    </row>
    <row r="644">
      <c r="A644" s="48" t="str">
        <f>IFERROR(__xludf.DUMMYFUNCTION("""COMPUTED_VALUE"""),"12. CBH – Reunião do Fórum Cearense de Comitê")</f>
        <v>12. CBH – Reunião do Fórum Cearense de Comitê</v>
      </c>
      <c r="B644" s="54">
        <f>IFERROR(__xludf.DUMMYFUNCTION("""COMPUTED_VALUE"""),45419.0)</f>
        <v>45419</v>
      </c>
      <c r="C644" s="48" t="str">
        <f>IFERROR(__xludf.DUMMYFUNCTION("""COMPUTED_VALUE"""),"3")</f>
        <v>3</v>
      </c>
    </row>
    <row r="645">
      <c r="A645" s="48" t="str">
        <f>IFERROR(__xludf.DUMMYFUNCTION("""COMPUTED_VALUE"""),"12. CBH – Reunião do Fórum Cearense de Comitê")</f>
        <v>12. CBH – Reunião do Fórum Cearense de Comitê</v>
      </c>
      <c r="B645" s="54">
        <f>IFERROR(__xludf.DUMMYFUNCTION("""COMPUTED_VALUE"""),45420.0)</f>
        <v>45420</v>
      </c>
      <c r="C645" s="48" t="str">
        <f>IFERROR(__xludf.DUMMYFUNCTION("""COMPUTED_VALUE"""),"3")</f>
        <v>3</v>
      </c>
    </row>
    <row r="646">
      <c r="A646" s="48" t="str">
        <f>IFERROR(__xludf.DUMMYFUNCTION("""COMPUTED_VALUE"""),"18. Mobilização Social")</f>
        <v>18. Mobilização Social</v>
      </c>
      <c r="B646" s="54">
        <f>IFERROR(__xludf.DUMMYFUNCTION("""COMPUTED_VALUE"""),45421.0)</f>
        <v>45421</v>
      </c>
      <c r="C646" s="48" t="str">
        <f>IFERROR(__xludf.DUMMYFUNCTION("""COMPUTED_VALUE"""),"15")</f>
        <v>15</v>
      </c>
    </row>
    <row r="647">
      <c r="A647" s="48" t="str">
        <f>IFERROR(__xludf.DUMMYFUNCTION("""COMPUTED_VALUE"""),"18. Mobilização Social")</f>
        <v>18. Mobilização Social</v>
      </c>
      <c r="B647" s="54">
        <f>IFERROR(__xludf.DUMMYFUNCTION("""COMPUTED_VALUE"""),45422.0)</f>
        <v>45422</v>
      </c>
      <c r="C647" s="48" t="str">
        <f>IFERROR(__xludf.DUMMYFUNCTION("""COMPUTED_VALUE"""),"5")</f>
        <v>5</v>
      </c>
    </row>
    <row r="648">
      <c r="A648" s="48" t="str">
        <f>IFERROR(__xludf.DUMMYFUNCTION("""COMPUTED_VALUE"""),"19. Mediação de Conflito")</f>
        <v>19. Mediação de Conflito</v>
      </c>
      <c r="B648" s="54">
        <f>IFERROR(__xludf.DUMMYFUNCTION("""COMPUTED_VALUE"""),45425.0)</f>
        <v>45425</v>
      </c>
      <c r="C648" s="48" t="str">
        <f>IFERROR(__xludf.DUMMYFUNCTION("""COMPUTED_VALUE"""),"7")</f>
        <v>7</v>
      </c>
    </row>
    <row r="649">
      <c r="A649" s="48" t="str">
        <f>IFERROR(__xludf.DUMMYFUNCTION("""COMPUTED_VALUE"""),"8. CBH – Reunião de Diretoria do CBH")</f>
        <v>8. CBH – Reunião de Diretoria do CBH</v>
      </c>
      <c r="B649" s="54">
        <f>IFERROR(__xludf.DUMMYFUNCTION("""COMPUTED_VALUE"""),45425.0)</f>
        <v>45425</v>
      </c>
      <c r="C649" s="48" t="str">
        <f>IFERROR(__xludf.DUMMYFUNCTION("""COMPUTED_VALUE"""),"4")</f>
        <v>4</v>
      </c>
    </row>
    <row r="650">
      <c r="A650" s="48" t="str">
        <f>IFERROR(__xludf.DUMMYFUNCTION("""COMPUTED_VALUE"""),"9. CBH – Reunião de Câmara Técnica, Câmara específica ou GT")</f>
        <v>9. CBH – Reunião de Câmara Técnica, Câmara específica ou GT</v>
      </c>
      <c r="B650" s="54">
        <f>IFERROR(__xludf.DUMMYFUNCTION("""COMPUTED_VALUE"""),45425.0)</f>
        <v>45425</v>
      </c>
      <c r="C650" s="48" t="str">
        <f>IFERROR(__xludf.DUMMYFUNCTION("""COMPUTED_VALUE"""),"7")</f>
        <v>7</v>
      </c>
    </row>
    <row r="651">
      <c r="A651" s="48" t="str">
        <f>IFERROR(__xludf.DUMMYFUNCTION("""COMPUTED_VALUE"""),"18. Mobilização Social")</f>
        <v>18. Mobilização Social</v>
      </c>
      <c r="B651" s="54">
        <f>IFERROR(__xludf.DUMMYFUNCTION("""COMPUTED_VALUE"""),45426.0)</f>
        <v>45426</v>
      </c>
      <c r="C651" s="48" t="str">
        <f>IFERROR(__xludf.DUMMYFUNCTION("""COMPUTED_VALUE"""),"9")</f>
        <v>9</v>
      </c>
    </row>
    <row r="652">
      <c r="A652" s="48" t="str">
        <f>IFERROR(__xludf.DUMMYFUNCTION("""COMPUTED_VALUE"""),"24. Projetos ou atividades Específicos")</f>
        <v>24. Projetos ou atividades Específicos</v>
      </c>
      <c r="B652" s="54">
        <f>IFERROR(__xludf.DUMMYFUNCTION("""COMPUTED_VALUE"""),45427.0)</f>
        <v>45427</v>
      </c>
      <c r="C652" s="48" t="str">
        <f>IFERROR(__xludf.DUMMYFUNCTION("""COMPUTED_VALUE"""),"-")</f>
        <v>-</v>
      </c>
    </row>
    <row r="653">
      <c r="A653" s="48" t="str">
        <f>IFERROR(__xludf.DUMMYFUNCTION("""COMPUTED_VALUE"""),"26. Outro")</f>
        <v>26. Outro</v>
      </c>
      <c r="B653" s="54">
        <f>IFERROR(__xludf.DUMMYFUNCTION("""COMPUTED_VALUE"""),45428.0)</f>
        <v>45428</v>
      </c>
      <c r="C653" s="48" t="str">
        <f>IFERROR(__xludf.DUMMYFUNCTION("""COMPUTED_VALUE"""),"49")</f>
        <v>49</v>
      </c>
    </row>
    <row r="654">
      <c r="A654" s="48" t="str">
        <f>IFERROR(__xludf.DUMMYFUNCTION("""COMPUTED_VALUE"""),"20. Ação de Comunicação / Informação / Capacitação Externa")</f>
        <v>20. Ação de Comunicação / Informação / Capacitação Externa</v>
      </c>
      <c r="B654" s="54"/>
      <c r="C654" s="48"/>
    </row>
    <row r="655">
      <c r="A655" s="48" t="str">
        <f>IFERROR(__xludf.DUMMYFUNCTION("""COMPUTED_VALUE"""),"20. Ação de Comunicação / Informação / Capacitação Externa")</f>
        <v>20. Ação de Comunicação / Informação / Capacitação Externa</v>
      </c>
      <c r="B655" s="54">
        <f>IFERROR(__xludf.DUMMYFUNCTION("""COMPUTED_VALUE"""),45429.0)</f>
        <v>45429</v>
      </c>
      <c r="C655" s="48"/>
    </row>
    <row r="656">
      <c r="A656" s="48" t="str">
        <f>IFERROR(__xludf.DUMMYFUNCTION("""COMPUTED_VALUE"""),"20. Ação de Comunicação / Informação / Capacitação Externa")</f>
        <v>20. Ação de Comunicação / Informação / Capacitação Externa</v>
      </c>
      <c r="B656" s="54">
        <f>IFERROR(__xludf.DUMMYFUNCTION("""COMPUTED_VALUE"""),45429.0)</f>
        <v>45429</v>
      </c>
      <c r="C656" s="48"/>
    </row>
    <row r="657">
      <c r="A657" s="48" t="str">
        <f>IFERROR(__xludf.DUMMYFUNCTION("""COMPUTED_VALUE"""),"9. CBH – Reunião de Câmara Técnica, Câmara específica ou GT")</f>
        <v>9. CBH – Reunião de Câmara Técnica, Câmara específica ou GT</v>
      </c>
      <c r="B657" s="54">
        <f>IFERROR(__xludf.DUMMYFUNCTION("""COMPUTED_VALUE"""),45432.0)</f>
        <v>45432</v>
      </c>
      <c r="C657" s="48"/>
    </row>
    <row r="658">
      <c r="A658" s="48" t="str">
        <f>IFERROR(__xludf.DUMMYFUNCTION("""COMPUTED_VALUE"""),"20. Ação de Comunicação / Informação / Capacitação Externa")</f>
        <v>20. Ação de Comunicação / Informação / Capacitação Externa</v>
      </c>
      <c r="B658" s="54">
        <f>IFERROR(__xludf.DUMMYFUNCTION("""COMPUTED_VALUE"""),45432.0)</f>
        <v>45432</v>
      </c>
      <c r="C658" s="48"/>
    </row>
    <row r="659">
      <c r="A659" s="48" t="str">
        <f>IFERROR(__xludf.DUMMYFUNCTION("""COMPUTED_VALUE"""),"20. Ação de Comunicação / Informação / Capacitação Externa")</f>
        <v>20. Ação de Comunicação / Informação / Capacitação Externa</v>
      </c>
      <c r="B659" s="54">
        <f>IFERROR(__xludf.DUMMYFUNCTION("""COMPUTED_VALUE"""),45432.0)</f>
        <v>45432</v>
      </c>
      <c r="C659" s="48"/>
    </row>
    <row r="660">
      <c r="A660" s="48" t="str">
        <f>IFERROR(__xludf.DUMMYFUNCTION("""COMPUTED_VALUE"""),"20. Ação de Comunicação / Informação / Capacitação Externa")</f>
        <v>20. Ação de Comunicação / Informação / Capacitação Externa</v>
      </c>
      <c r="B660" s="54">
        <f>IFERROR(__xludf.DUMMYFUNCTION("""COMPUTED_VALUE"""),45432.0)</f>
        <v>45432</v>
      </c>
      <c r="C660" s="48"/>
    </row>
    <row r="661">
      <c r="A661" s="48" t="str">
        <f>IFERROR(__xludf.DUMMYFUNCTION("""COMPUTED_VALUE"""),"24. Projetos ou atividades Específicos")</f>
        <v>24. Projetos ou atividades Específicos</v>
      </c>
      <c r="B661" s="54">
        <f>IFERROR(__xludf.DUMMYFUNCTION("""COMPUTED_VALUE"""),45432.0)</f>
        <v>45432</v>
      </c>
      <c r="C661" s="48"/>
    </row>
    <row r="662">
      <c r="A662" s="48" t="str">
        <f>IFERROR(__xludf.DUMMYFUNCTION("""COMPUTED_VALUE"""),"24. Projetos ou atividades Específicos")</f>
        <v>24. Projetos ou atividades Específicos</v>
      </c>
      <c r="B662" s="54">
        <f>IFERROR(__xludf.DUMMYFUNCTION("""COMPUTED_VALUE"""),45433.0)</f>
        <v>45433</v>
      </c>
      <c r="C662" s="48"/>
    </row>
    <row r="663">
      <c r="A663" s="48" t="str">
        <f>IFERROR(__xludf.DUMMYFUNCTION("""COMPUTED_VALUE"""),"21. Projetos Especiais")</f>
        <v>21. Projetos Especiais</v>
      </c>
      <c r="B663" s="54">
        <f>IFERROR(__xludf.DUMMYFUNCTION("""COMPUTED_VALUE"""),45433.0)</f>
        <v>45433</v>
      </c>
      <c r="C663" s="48"/>
    </row>
    <row r="664">
      <c r="A664" s="48" t="str">
        <f>IFERROR(__xludf.DUMMYFUNCTION("""COMPUTED_VALUE"""),"20. Ação de Comunicação / Informação / Capacitação Externa")</f>
        <v>20. Ação de Comunicação / Informação / Capacitação Externa</v>
      </c>
      <c r="B664" s="54">
        <f>IFERROR(__xludf.DUMMYFUNCTION("""COMPUTED_VALUE"""),45434.0)</f>
        <v>45434</v>
      </c>
      <c r="C664" s="48"/>
    </row>
    <row r="665">
      <c r="A665" s="48" t="str">
        <f>IFERROR(__xludf.DUMMYFUNCTION("""COMPUTED_VALUE"""),"21. Projetos Especiais")</f>
        <v>21. Projetos Especiais</v>
      </c>
      <c r="B665" s="54">
        <f>IFERROR(__xludf.DUMMYFUNCTION("""COMPUTED_VALUE"""),45436.0)</f>
        <v>45436</v>
      </c>
      <c r="C665" s="48"/>
    </row>
    <row r="666">
      <c r="A666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666" s="54">
        <f>IFERROR(__xludf.DUMMYFUNCTION("""COMPUTED_VALUE"""),45439.0)</f>
        <v>45439</v>
      </c>
      <c r="C666" s="48"/>
    </row>
    <row r="667">
      <c r="A667" s="48" t="str">
        <f>IFERROR(__xludf.DUMMYFUNCTION("""COMPUTED_VALUE"""),"20. Ação de Comunicação / Informação / Capacitação Externa")</f>
        <v>20. Ação de Comunicação / Informação / Capacitação Externa</v>
      </c>
      <c r="B667" s="54">
        <f>IFERROR(__xludf.DUMMYFUNCTION("""COMPUTED_VALUE"""),-619303.0)</f>
        <v>-619303</v>
      </c>
      <c r="C667" s="48"/>
    </row>
    <row r="668">
      <c r="A668" s="48" t="str">
        <f>IFERROR(__xludf.DUMMYFUNCTION("""COMPUTED_VALUE"""),"20. Ação de Comunicação / Informação / Capacitação Externa")</f>
        <v>20. Ação de Comunicação / Informação / Capacitação Externa</v>
      </c>
      <c r="B668" s="54">
        <f>IFERROR(__xludf.DUMMYFUNCTION("""COMPUTED_VALUE"""),45440.0)</f>
        <v>45440</v>
      </c>
      <c r="C668" s="48"/>
    </row>
    <row r="669">
      <c r="A669" s="48" t="str">
        <f>IFERROR(__xludf.DUMMYFUNCTION("""COMPUTED_VALUE"""),"24. Projetos ou atividades Específicos")</f>
        <v>24. Projetos ou atividades Específicos</v>
      </c>
      <c r="B669" s="54">
        <f>IFERROR(__xludf.DUMMYFUNCTION("""COMPUTED_VALUE"""),45441.0)</f>
        <v>45441</v>
      </c>
      <c r="C669" s="48"/>
    </row>
    <row r="670">
      <c r="A670" s="48" t="str">
        <f>IFERROR(__xludf.DUMMYFUNCTION("""COMPUTED_VALUE"""),"21. Projetos Especiais")</f>
        <v>21. Projetos Especiais</v>
      </c>
      <c r="B670" s="54">
        <f>IFERROR(__xludf.DUMMYFUNCTION("""COMPUTED_VALUE"""),45441.0)</f>
        <v>45441</v>
      </c>
      <c r="C670" s="48"/>
    </row>
    <row r="671">
      <c r="A671" s="48" t="str">
        <f>IFERROR(__xludf.DUMMYFUNCTION("""COMPUTED_VALUE"""),"7. CBH – Reunião Extraordinária do Comitê")</f>
        <v>7. CBH – Reunião Extraordinária do Comitê</v>
      </c>
      <c r="B671" s="54">
        <f>IFERROR(__xludf.DUMMYFUNCTION("""COMPUTED_VALUE"""),45441.0)</f>
        <v>45441</v>
      </c>
      <c r="C671" s="48"/>
    </row>
    <row r="672">
      <c r="A672" s="48"/>
      <c r="B672" s="54">
        <f>IFERROR(__xludf.DUMMYFUNCTION("""COMPUTED_VALUE"""),45435.0)</f>
        <v>45435</v>
      </c>
      <c r="C672" s="48"/>
    </row>
    <row r="673">
      <c r="A673" s="48"/>
      <c r="B673" s="54"/>
      <c r="C673" s="48"/>
    </row>
    <row r="674">
      <c r="A674" s="48" t="str">
        <f>IFERROR(__xludf.DUMMYFUNCTION("""COMPUTED_VALUE"""),"24. Projetos ou atividades Específicos")</f>
        <v>24. Projetos ou atividades Específicos</v>
      </c>
      <c r="B674" s="54">
        <f>IFERROR(__xludf.DUMMYFUNCTION("""COMPUTED_VALUE"""),45446.0)</f>
        <v>45446</v>
      </c>
      <c r="C674" s="48"/>
    </row>
    <row r="675">
      <c r="A675" s="48" t="str">
        <f>IFERROR(__xludf.DUMMYFUNCTION("""COMPUTED_VALUE"""),"20. Ação de Comunicação / Informação / Capacitação Externa")</f>
        <v>20. Ação de Comunicação / Informação / Capacitação Externa</v>
      </c>
      <c r="B675" s="54">
        <f>IFERROR(__xludf.DUMMYFUNCTION("""COMPUTED_VALUE"""),45446.0)</f>
        <v>45446</v>
      </c>
      <c r="C675" s="48"/>
    </row>
    <row r="676">
      <c r="A676" s="48" t="str">
        <f>IFERROR(__xludf.DUMMYFUNCTION("""COMPUTED_VALUE"""),"20. Ação de Comunicação / Informação / Capacitação Externa")</f>
        <v>20. Ação de Comunicação / Informação / Capacitação Externa</v>
      </c>
      <c r="B676" s="54">
        <f>IFERROR(__xludf.DUMMYFUNCTION("""COMPUTED_VALUE"""),45446.0)</f>
        <v>45446</v>
      </c>
      <c r="C676" s="48"/>
    </row>
    <row r="677">
      <c r="A677" s="48" t="str">
        <f>IFERROR(__xludf.DUMMYFUNCTION("""COMPUTED_VALUE"""),"21. Projetos Especiais")</f>
        <v>21. Projetos Especiais</v>
      </c>
      <c r="B677" s="54">
        <f>IFERROR(__xludf.DUMMYFUNCTION("""COMPUTED_VALUE"""),45446.0)</f>
        <v>45446</v>
      </c>
      <c r="C677" s="48"/>
    </row>
    <row r="678">
      <c r="A678" s="48" t="str">
        <f>IFERROR(__xludf.DUMMYFUNCTION("""COMPUTED_VALUE"""),"24. Projetos ou atividades Específicos")</f>
        <v>24. Projetos ou atividades Específicos</v>
      </c>
      <c r="B678" s="54">
        <f>IFERROR(__xludf.DUMMYFUNCTION("""COMPUTED_VALUE"""),45447.0)</f>
        <v>45447</v>
      </c>
      <c r="C678" s="48"/>
    </row>
    <row r="679">
      <c r="A679" s="48" t="str">
        <f>IFERROR(__xludf.DUMMYFUNCTION("""COMPUTED_VALUE"""),"20. Ação de Comunicação / Informação / Capacitação Externa")</f>
        <v>20. Ação de Comunicação / Informação / Capacitação Externa</v>
      </c>
      <c r="B679" s="54">
        <f>IFERROR(__xludf.DUMMYFUNCTION("""COMPUTED_VALUE"""),45447.0)</f>
        <v>45447</v>
      </c>
      <c r="C679" s="48"/>
    </row>
    <row r="680">
      <c r="A680" s="48" t="str">
        <f>IFERROR(__xludf.DUMMYFUNCTION("""COMPUTED_VALUE"""),"24. Projetos ou atividades Específicos")</f>
        <v>24. Projetos ou atividades Específicos</v>
      </c>
      <c r="B680" s="54">
        <f>IFERROR(__xludf.DUMMYFUNCTION("""COMPUTED_VALUE"""),45447.0)</f>
        <v>45447</v>
      </c>
      <c r="C680" s="48"/>
    </row>
    <row r="681">
      <c r="A681" s="48" t="str">
        <f>IFERROR(__xludf.DUMMYFUNCTION("""COMPUTED_VALUE"""),"24. Projetos ou atividades Específicos")</f>
        <v>24. Projetos ou atividades Específicos</v>
      </c>
      <c r="B681" s="54">
        <f>IFERROR(__xludf.DUMMYFUNCTION("""COMPUTED_VALUE"""),45447.0)</f>
        <v>45447</v>
      </c>
      <c r="C681" s="48"/>
    </row>
    <row r="682">
      <c r="A682" s="48" t="str">
        <f>IFERROR(__xludf.DUMMYFUNCTION("""COMPUTED_VALUE"""),"20. Ação de Comunicação / Informação / Capacitação Externa")</f>
        <v>20. Ação de Comunicação / Informação / Capacitação Externa</v>
      </c>
      <c r="B682" s="54">
        <f>IFERROR(__xludf.DUMMYFUNCTION("""COMPUTED_VALUE"""),45447.0)</f>
        <v>45447</v>
      </c>
      <c r="C682" s="48"/>
    </row>
    <row r="683">
      <c r="A683" s="48" t="str">
        <f>IFERROR(__xludf.DUMMYFUNCTION("""COMPUTED_VALUE"""),"25. Atividade Relacinada a Cobrança/Faturamento")</f>
        <v>25. Atividade Relacinada a Cobrança/Faturamento</v>
      </c>
      <c r="B683" s="54">
        <f>IFERROR(__xludf.DUMMYFUNCTION("""COMPUTED_VALUE"""),45447.0)</f>
        <v>45447</v>
      </c>
      <c r="C683" s="48"/>
    </row>
    <row r="684">
      <c r="A684" s="48" t="str">
        <f>IFERROR(__xludf.DUMMYFUNCTION("""COMPUTED_VALUE"""),"20. Ação de Comunicação / Informação / Capacitação Externa")</f>
        <v>20. Ação de Comunicação / Informação / Capacitação Externa</v>
      </c>
      <c r="B684" s="54">
        <f>IFERROR(__xludf.DUMMYFUNCTION("""COMPUTED_VALUE"""),45448.0)</f>
        <v>45448</v>
      </c>
      <c r="C684" s="48"/>
    </row>
    <row r="685">
      <c r="A685" s="48" t="str">
        <f>IFERROR(__xludf.DUMMYFUNCTION("""COMPUTED_VALUE"""),"25. Atividade Relacinada a Cobrança/Faturamento")</f>
        <v>25. Atividade Relacinada a Cobrança/Faturamento</v>
      </c>
      <c r="B685" s="54">
        <f>IFERROR(__xludf.DUMMYFUNCTION("""COMPUTED_VALUE"""),45448.0)</f>
        <v>45448</v>
      </c>
      <c r="C685" s="48"/>
    </row>
    <row r="686">
      <c r="A686" s="48" t="str">
        <f>IFERROR(__xludf.DUMMYFUNCTION("""COMPUTED_VALUE"""),"25. Atividade Relacinada a Cobrança/Faturamento")</f>
        <v>25. Atividade Relacinada a Cobrança/Faturamento</v>
      </c>
      <c r="B686" s="54">
        <f>IFERROR(__xludf.DUMMYFUNCTION("""COMPUTED_VALUE"""),45449.0)</f>
        <v>45449</v>
      </c>
      <c r="C686" s="48"/>
    </row>
    <row r="687">
      <c r="A687" s="48" t="str">
        <f>IFERROR(__xludf.DUMMYFUNCTION("""COMPUTED_VALUE"""),"20. Ação de Comunicação / Informação / Capacitação Externa")</f>
        <v>20. Ação de Comunicação / Informação / Capacitação Externa</v>
      </c>
      <c r="B687" s="54">
        <f>IFERROR(__xludf.DUMMYFUNCTION("""COMPUTED_VALUE"""),45449.0)</f>
        <v>45449</v>
      </c>
      <c r="C687" s="48"/>
    </row>
    <row r="688">
      <c r="A688" s="48" t="str">
        <f>IFERROR(__xludf.DUMMYFUNCTION("""COMPUTED_VALUE"""),"18. Mobilização Social")</f>
        <v>18. Mobilização Social</v>
      </c>
      <c r="B688" s="54">
        <f>IFERROR(__xludf.DUMMYFUNCTION("""COMPUTED_VALUE"""),45449.0)</f>
        <v>45449</v>
      </c>
      <c r="C688" s="48" t="str">
        <f>IFERROR(__xludf.DUMMYFUNCTION("""COMPUTED_VALUE"""),"4")</f>
        <v>4</v>
      </c>
    </row>
    <row r="689">
      <c r="A689" s="48" t="str">
        <f>IFERROR(__xludf.DUMMYFUNCTION("""COMPUTED_VALUE"""),"24. Projetos ou atividades Específicos")</f>
        <v>24. Projetos ou atividades Específicos</v>
      </c>
      <c r="B689" s="54">
        <f>IFERROR(__xludf.DUMMYFUNCTION("""COMPUTED_VALUE"""),45450.0)</f>
        <v>45450</v>
      </c>
      <c r="C689" s="48"/>
    </row>
    <row r="690">
      <c r="A690" s="48" t="str">
        <f>IFERROR(__xludf.DUMMYFUNCTION("""COMPUTED_VALUE"""),"21. Projetos Especiais")</f>
        <v>21. Projetos Especiais</v>
      </c>
      <c r="B690" s="54">
        <f>IFERROR(__xludf.DUMMYFUNCTION("""COMPUTED_VALUE"""),45450.0)</f>
        <v>45450</v>
      </c>
      <c r="C690" s="48"/>
    </row>
    <row r="691">
      <c r="A691" s="48" t="str">
        <f>IFERROR(__xludf.DUMMYFUNCTION("""COMPUTED_VALUE"""),"25. Atividade Relacinada a Cobrança/Faturamento")</f>
        <v>25. Atividade Relacinada a Cobrança/Faturamento</v>
      </c>
      <c r="B691" s="54">
        <f>IFERROR(__xludf.DUMMYFUNCTION("""COMPUTED_VALUE"""),45453.0)</f>
        <v>45453</v>
      </c>
      <c r="C691" s="48"/>
    </row>
    <row r="692">
      <c r="A692" s="48" t="str">
        <f>IFERROR(__xludf.DUMMYFUNCTION("""COMPUTED_VALUE"""),"18. Mobilização Social")</f>
        <v>18. Mobilização Social</v>
      </c>
      <c r="B692" s="54">
        <f>IFERROR(__xludf.DUMMYFUNCTION("""COMPUTED_VALUE"""),45453.0)</f>
        <v>45453</v>
      </c>
      <c r="C692" s="48" t="str">
        <f>IFERROR(__xludf.DUMMYFUNCTION("""COMPUTED_VALUE"""),"4")</f>
        <v>4</v>
      </c>
    </row>
    <row r="693">
      <c r="A693" s="48" t="str">
        <f>IFERROR(__xludf.DUMMYFUNCTION("""COMPUTED_VALUE"""),"12. CBH – Reunião do Fórum Cearense de Comitê")</f>
        <v>12. CBH – Reunião do Fórum Cearense de Comitê</v>
      </c>
      <c r="B693" s="54">
        <f>IFERROR(__xludf.DUMMYFUNCTION("""COMPUTED_VALUE"""),45454.0)</f>
        <v>45454</v>
      </c>
      <c r="C693" s="48" t="str">
        <f>IFERROR(__xludf.DUMMYFUNCTION("""COMPUTED_VALUE"""),"3")</f>
        <v>3</v>
      </c>
    </row>
    <row r="694">
      <c r="A694" s="48" t="str">
        <f>IFERROR(__xludf.DUMMYFUNCTION("""COMPUTED_VALUE"""),"25. Atividade Relacinada a Cobrança/Faturamento")</f>
        <v>25. Atividade Relacinada a Cobrança/Faturamento</v>
      </c>
      <c r="B694" s="54">
        <f>IFERROR(__xludf.DUMMYFUNCTION("""COMPUTED_VALUE"""),45454.0)</f>
        <v>45454</v>
      </c>
      <c r="C694" s="48"/>
    </row>
    <row r="695">
      <c r="A695" s="48" t="str">
        <f>IFERROR(__xludf.DUMMYFUNCTION("""COMPUTED_VALUE"""),"18. Mobilização Social")</f>
        <v>18. Mobilização Social</v>
      </c>
      <c r="B695" s="54">
        <f>IFERROR(__xludf.DUMMYFUNCTION("""COMPUTED_VALUE"""),45454.0)</f>
        <v>45454</v>
      </c>
      <c r="C695" s="48" t="str">
        <f>IFERROR(__xludf.DUMMYFUNCTION("""COMPUTED_VALUE"""),"6")</f>
        <v>6</v>
      </c>
    </row>
    <row r="696">
      <c r="A696" s="48" t="str">
        <f>IFERROR(__xludf.DUMMYFUNCTION("""COMPUTED_VALUE"""),"20. Ação de Comunicação / Informação / Capacitação Externa")</f>
        <v>20. Ação de Comunicação / Informação / Capacitação Externa</v>
      </c>
      <c r="B696" s="54">
        <f>IFERROR(__xludf.DUMMYFUNCTION("""COMPUTED_VALUE"""),45454.0)</f>
        <v>45454</v>
      </c>
      <c r="C696" s="48"/>
    </row>
    <row r="697">
      <c r="A697" s="48" t="str">
        <f>IFERROR(__xludf.DUMMYFUNCTION("""COMPUTED_VALUE"""),"20. Ação de Comunicação / Informação / Capacitação Externa")</f>
        <v>20. Ação de Comunicação / Informação / Capacitação Externa</v>
      </c>
      <c r="B697" s="54">
        <f>IFERROR(__xludf.DUMMYFUNCTION("""COMPUTED_VALUE"""),45454.0)</f>
        <v>45454</v>
      </c>
      <c r="C697" s="48"/>
    </row>
    <row r="698">
      <c r="A698" s="48" t="str">
        <f>IFERROR(__xludf.DUMMYFUNCTION("""COMPUTED_VALUE"""),"18. Mobilização Social")</f>
        <v>18. Mobilização Social</v>
      </c>
      <c r="B698" s="54">
        <f>IFERROR(__xludf.DUMMYFUNCTION("""COMPUTED_VALUE"""),45455.0)</f>
        <v>45455</v>
      </c>
      <c r="C698" s="48" t="str">
        <f>IFERROR(__xludf.DUMMYFUNCTION("""COMPUTED_VALUE"""),"7")</f>
        <v>7</v>
      </c>
    </row>
    <row r="699">
      <c r="A699" s="48" t="str">
        <f>IFERROR(__xludf.DUMMYFUNCTION("""COMPUTED_VALUE"""),"25. Atividade Relacinada a Cobrança/Faturamento")</f>
        <v>25. Atividade Relacinada a Cobrança/Faturamento</v>
      </c>
      <c r="B699" s="54">
        <f>IFERROR(__xludf.DUMMYFUNCTION("""COMPUTED_VALUE"""),45455.0)</f>
        <v>45455</v>
      </c>
      <c r="C699" s="48"/>
    </row>
    <row r="700">
      <c r="A700" s="48" t="str">
        <f>IFERROR(__xludf.DUMMYFUNCTION("""COMPUTED_VALUE"""),"21. Projetos Especiais")</f>
        <v>21. Projetos Especiais</v>
      </c>
      <c r="B700" s="54">
        <f>IFERROR(__xludf.DUMMYFUNCTION("""COMPUTED_VALUE"""),45456.0)</f>
        <v>45456</v>
      </c>
      <c r="C700" s="48"/>
    </row>
    <row r="701">
      <c r="A701" s="48" t="str">
        <f>IFERROR(__xludf.DUMMYFUNCTION("""COMPUTED_VALUE"""),"18. Mobilização Social")</f>
        <v>18. Mobilização Social</v>
      </c>
      <c r="B701" s="54">
        <f>IFERROR(__xludf.DUMMYFUNCTION("""COMPUTED_VALUE"""),45456.0)</f>
        <v>45456</v>
      </c>
      <c r="C701" s="48" t="str">
        <f>IFERROR(__xludf.DUMMYFUNCTION("""COMPUTED_VALUE"""),"6")</f>
        <v>6</v>
      </c>
    </row>
    <row r="702">
      <c r="A702" s="48" t="str">
        <f>IFERROR(__xludf.DUMMYFUNCTION("""COMPUTED_VALUE"""),"8. CBH – Reunião de Diretoria do CBH")</f>
        <v>8. CBH – Reunião de Diretoria do CBH</v>
      </c>
      <c r="B702" s="54">
        <f>IFERROR(__xludf.DUMMYFUNCTION("""COMPUTED_VALUE"""),45456.0)</f>
        <v>45456</v>
      </c>
      <c r="C702" s="48"/>
    </row>
    <row r="703">
      <c r="A703" s="48" t="str">
        <f>IFERROR(__xludf.DUMMYFUNCTION("""COMPUTED_VALUE"""),"20. Ação de Comunicação / Informação / Capacitação Externa")</f>
        <v>20. Ação de Comunicação / Informação / Capacitação Externa</v>
      </c>
      <c r="B703" s="54">
        <f>IFERROR(__xludf.DUMMYFUNCTION("""COMPUTED_VALUE"""),45456.0)</f>
        <v>45456</v>
      </c>
      <c r="C703" s="48"/>
    </row>
    <row r="704">
      <c r="A704" s="48" t="str">
        <f>IFERROR(__xludf.DUMMYFUNCTION("""COMPUTED_VALUE"""),"20. Ação de Comunicação / Informação / Capacitação Externa")</f>
        <v>20. Ação de Comunicação / Informação / Capacitação Externa</v>
      </c>
      <c r="B704" s="54">
        <f>IFERROR(__xludf.DUMMYFUNCTION("""COMPUTED_VALUE"""),45456.0)</f>
        <v>45456</v>
      </c>
      <c r="C704" s="48"/>
    </row>
    <row r="705">
      <c r="A705" s="48" t="str">
        <f>IFERROR(__xludf.DUMMYFUNCTION("""COMPUTED_VALUE"""),"21. Projetos Especiais")</f>
        <v>21. Projetos Especiais</v>
      </c>
      <c r="B705" s="54">
        <f>IFERROR(__xludf.DUMMYFUNCTION("""COMPUTED_VALUE"""),45457.0)</f>
        <v>45457</v>
      </c>
      <c r="C705" s="48" t="str">
        <f>IFERROR(__xludf.DUMMYFUNCTION("""COMPUTED_VALUE"""),"1")</f>
        <v>1</v>
      </c>
    </row>
    <row r="706">
      <c r="A706" s="48" t="str">
        <f>IFERROR(__xludf.DUMMYFUNCTION("""COMPUTED_VALUE"""),"21. Projetos Especiais")</f>
        <v>21. Projetos Especiais</v>
      </c>
      <c r="B706" s="54">
        <f>IFERROR(__xludf.DUMMYFUNCTION("""COMPUTED_VALUE"""),45457.0)</f>
        <v>45457</v>
      </c>
      <c r="C706" s="48"/>
    </row>
    <row r="707">
      <c r="A707" s="48" t="str">
        <f>IFERROR(__xludf.DUMMYFUNCTION("""COMPUTED_VALUE"""),"18. Mobilização Social")</f>
        <v>18. Mobilização Social</v>
      </c>
      <c r="B707" s="54">
        <f>IFERROR(__xludf.DUMMYFUNCTION("""COMPUTED_VALUE"""),45460.0)</f>
        <v>45460</v>
      </c>
      <c r="C707" s="48" t="str">
        <f>IFERROR(__xludf.DUMMYFUNCTION("""COMPUTED_VALUE"""),"7")</f>
        <v>7</v>
      </c>
    </row>
    <row r="708">
      <c r="A708" s="48" t="str">
        <f>IFERROR(__xludf.DUMMYFUNCTION("""COMPUTED_VALUE"""),"20. Ação de Comunicação / Informação / Capacitação Externa")</f>
        <v>20. Ação de Comunicação / Informação / Capacitação Externa</v>
      </c>
      <c r="B708" s="54">
        <f>IFERROR(__xludf.DUMMYFUNCTION("""COMPUTED_VALUE"""),45460.0)</f>
        <v>45460</v>
      </c>
      <c r="C708" s="48"/>
    </row>
    <row r="709">
      <c r="A709" s="48" t="str">
        <f>IFERROR(__xludf.DUMMYFUNCTION("""COMPUTED_VALUE"""),"24. Projetos ou atividades Específicos")</f>
        <v>24. Projetos ou atividades Específicos</v>
      </c>
      <c r="B709" s="54">
        <f>IFERROR(__xludf.DUMMYFUNCTION("""COMPUTED_VALUE"""),45460.0)</f>
        <v>45460</v>
      </c>
      <c r="C709" s="48"/>
    </row>
    <row r="710">
      <c r="A710" s="48" t="str">
        <f>IFERROR(__xludf.DUMMYFUNCTION("""COMPUTED_VALUE"""),"18. Mobilização Social")</f>
        <v>18. Mobilização Social</v>
      </c>
      <c r="B710" s="54">
        <f>IFERROR(__xludf.DUMMYFUNCTION("""COMPUTED_VALUE"""),45461.0)</f>
        <v>45461</v>
      </c>
      <c r="C710" s="48" t="str">
        <f>IFERROR(__xludf.DUMMYFUNCTION("""COMPUTED_VALUE"""),"7")</f>
        <v>7</v>
      </c>
    </row>
    <row r="711">
      <c r="A711" s="48" t="str">
        <f>IFERROR(__xludf.DUMMYFUNCTION("""COMPUTED_VALUE"""),"24. Projetos ou atividades Específicos")</f>
        <v>24. Projetos ou atividades Específicos</v>
      </c>
      <c r="B711" s="54">
        <f>IFERROR(__xludf.DUMMYFUNCTION("""COMPUTED_VALUE"""),-619281.0)</f>
        <v>-619281</v>
      </c>
      <c r="C711" s="48"/>
    </row>
    <row r="712">
      <c r="A712" s="48" t="str">
        <f>IFERROR(__xludf.DUMMYFUNCTION("""COMPUTED_VALUE"""),"18. Mobilização Social")</f>
        <v>18. Mobilização Social</v>
      </c>
      <c r="B712" s="54">
        <f>IFERROR(__xludf.DUMMYFUNCTION("""COMPUTED_VALUE"""),-619281.0)</f>
        <v>-619281</v>
      </c>
      <c r="C712" s="48"/>
    </row>
    <row r="713">
      <c r="A713" s="48" t="str">
        <f>IFERROR(__xludf.DUMMYFUNCTION("""COMPUTED_VALUE"""),"18. Mobilização Social")</f>
        <v>18. Mobilização Social</v>
      </c>
      <c r="B713" s="54">
        <f>IFERROR(__xludf.DUMMYFUNCTION("""COMPUTED_VALUE"""),-619281.0)</f>
        <v>-619281</v>
      </c>
      <c r="C713" s="48"/>
    </row>
    <row r="714">
      <c r="A714" s="48" t="str">
        <f>IFERROR(__xludf.DUMMYFUNCTION("""COMPUTED_VALUE"""),"18. Mobilização Social")</f>
        <v>18. Mobilização Social</v>
      </c>
      <c r="B714" s="54">
        <f>IFERROR(__xludf.DUMMYFUNCTION("""COMPUTED_VALUE"""),45462.0)</f>
        <v>45462</v>
      </c>
      <c r="C714" s="48" t="str">
        <f>IFERROR(__xludf.DUMMYFUNCTION("""COMPUTED_VALUE"""),"15")</f>
        <v>15</v>
      </c>
    </row>
    <row r="715">
      <c r="A715" s="48" t="str">
        <f>IFERROR(__xludf.DUMMYFUNCTION("""COMPUTED_VALUE"""),"24. Projetos ou atividades Específicos")</f>
        <v>24. Projetos ou atividades Específicos</v>
      </c>
      <c r="B715" s="54">
        <f>IFERROR(__xludf.DUMMYFUNCTION("""COMPUTED_VALUE"""),45463.0)</f>
        <v>45463</v>
      </c>
      <c r="C715" s="48"/>
    </row>
    <row r="716">
      <c r="A716" s="48" t="str">
        <f>IFERROR(__xludf.DUMMYFUNCTION("""COMPUTED_VALUE"""),"21. Projetos Especiais")</f>
        <v>21. Projetos Especiais</v>
      </c>
      <c r="B716" s="54">
        <f>IFERROR(__xludf.DUMMYFUNCTION("""COMPUTED_VALUE"""),45463.0)</f>
        <v>45463</v>
      </c>
      <c r="C716" s="48"/>
    </row>
    <row r="717">
      <c r="A717" s="48" t="str">
        <f>IFERROR(__xludf.DUMMYFUNCTION("""COMPUTED_VALUE"""),"24. Projetos ou atividades Específicos")</f>
        <v>24. Projetos ou atividades Específicos</v>
      </c>
      <c r="B717" s="54">
        <f>IFERROR(__xludf.DUMMYFUNCTION("""COMPUTED_VALUE"""),45464.0)</f>
        <v>45464</v>
      </c>
      <c r="C717" s="48"/>
    </row>
    <row r="718">
      <c r="A718" s="48" t="str">
        <f>IFERROR(__xludf.DUMMYFUNCTION("""COMPUTED_VALUE"""),"26. Outro")</f>
        <v>26. Outro</v>
      </c>
      <c r="B718" s="54">
        <f>IFERROR(__xludf.DUMMYFUNCTION("""COMPUTED_VALUE"""),45464.0)</f>
        <v>45464</v>
      </c>
      <c r="C718" s="48"/>
    </row>
    <row r="719">
      <c r="A719" s="48" t="str">
        <f>IFERROR(__xludf.DUMMYFUNCTION("""COMPUTED_VALUE"""),"18. Mobilização Social")</f>
        <v>18. Mobilização Social</v>
      </c>
      <c r="B719" s="54">
        <f>IFERROR(__xludf.DUMMYFUNCTION("""COMPUTED_VALUE"""),45467.0)</f>
        <v>45467</v>
      </c>
      <c r="C719" s="48"/>
    </row>
    <row r="720">
      <c r="A720" s="48" t="str">
        <f>IFERROR(__xludf.DUMMYFUNCTION("""COMPUTED_VALUE"""),"26. Outro")</f>
        <v>26. Outro</v>
      </c>
      <c r="B720" s="54">
        <f>IFERROR(__xludf.DUMMYFUNCTION("""COMPUTED_VALUE"""),45467.0)</f>
        <v>45467</v>
      </c>
      <c r="C720" s="48"/>
    </row>
    <row r="721">
      <c r="A721" s="48" t="str">
        <f>IFERROR(__xludf.DUMMYFUNCTION("""COMPUTED_VALUE"""),"20. Ação de Comunicação / Informação / Capacitação Externa")</f>
        <v>20. Ação de Comunicação / Informação / Capacitação Externa</v>
      </c>
      <c r="B721" s="54">
        <f>IFERROR(__xludf.DUMMYFUNCTION("""COMPUTED_VALUE"""),45467.0)</f>
        <v>45467</v>
      </c>
      <c r="C721" s="48"/>
    </row>
    <row r="722">
      <c r="A722" s="48" t="str">
        <f>IFERROR(__xludf.DUMMYFUNCTION("""COMPUTED_VALUE"""),"20. Ação de Comunicação / Informação / Capacitação Externa")</f>
        <v>20. Ação de Comunicação / Informação / Capacitação Externa</v>
      </c>
      <c r="B722" s="54">
        <f>IFERROR(__xludf.DUMMYFUNCTION("""COMPUTED_VALUE"""),45467.0)</f>
        <v>45467</v>
      </c>
      <c r="C722" s="48"/>
    </row>
    <row r="723">
      <c r="A723" s="48" t="str">
        <f>IFERROR(__xludf.DUMMYFUNCTION("""COMPUTED_VALUE"""),"24. Projetos ou atividades Específicos")</f>
        <v>24. Projetos ou atividades Específicos</v>
      </c>
      <c r="B723" s="54">
        <f>IFERROR(__xludf.DUMMYFUNCTION("""COMPUTED_VALUE"""),45468.0)</f>
        <v>45468</v>
      </c>
      <c r="C723" s="48"/>
    </row>
    <row r="724">
      <c r="A724" s="48" t="str">
        <f>IFERROR(__xludf.DUMMYFUNCTION("""COMPUTED_VALUE"""),"6. CBH – Reunião Ordinária do Comitê")</f>
        <v>6. CBH – Reunião Ordinária do Comitê</v>
      </c>
      <c r="B724" s="54">
        <f>IFERROR(__xludf.DUMMYFUNCTION("""COMPUTED_VALUE"""),45469.0)</f>
        <v>45469</v>
      </c>
      <c r="C724" s="48" t="str">
        <f>IFERROR(__xludf.DUMMYFUNCTION("""COMPUTED_VALUE"""),"36")</f>
        <v>36</v>
      </c>
    </row>
    <row r="725">
      <c r="A725" s="48" t="str">
        <f>IFERROR(__xludf.DUMMYFUNCTION("""COMPUTED_VALUE"""),"20. Ação de Comunicação / Informação / Capacitação Externa")</f>
        <v>20. Ação de Comunicação / Informação / Capacitação Externa</v>
      </c>
      <c r="B725" s="54">
        <f>IFERROR(__xludf.DUMMYFUNCTION("""COMPUTED_VALUE"""),45469.0)</f>
        <v>45469</v>
      </c>
      <c r="C725" s="48" t="str">
        <f>IFERROR(__xludf.DUMMYFUNCTION("""COMPUTED_VALUE"""),"2")</f>
        <v>2</v>
      </c>
    </row>
    <row r="726">
      <c r="A726" s="48" t="str">
        <f>IFERROR(__xludf.DUMMYFUNCTION("""COMPUTED_VALUE"""),"21. Projetos Especiais")</f>
        <v>21. Projetos Especiais</v>
      </c>
      <c r="B726" s="54">
        <f>IFERROR(__xludf.DUMMYFUNCTION("""COMPUTED_VALUE"""),45469.0)</f>
        <v>45469</v>
      </c>
      <c r="C726" s="48"/>
    </row>
    <row r="727">
      <c r="A727" s="48" t="str">
        <f>IFERROR(__xludf.DUMMYFUNCTION("""COMPUTED_VALUE"""),"20. Ação de Comunicação / Informação / Capacitação Externa")</f>
        <v>20. Ação de Comunicação / Informação / Capacitação Externa</v>
      </c>
      <c r="B727" s="54">
        <f>IFERROR(__xludf.DUMMYFUNCTION("""COMPUTED_VALUE"""),45469.0)</f>
        <v>45469</v>
      </c>
      <c r="C727" s="48"/>
    </row>
    <row r="728">
      <c r="A728" s="48" t="str">
        <f>IFERROR(__xludf.DUMMYFUNCTION("""COMPUTED_VALUE"""),"18. Mobilização Social")</f>
        <v>18. Mobilização Social</v>
      </c>
      <c r="B728" s="54">
        <f>IFERROR(__xludf.DUMMYFUNCTION("""COMPUTED_VALUE"""),45470.0)</f>
        <v>45470</v>
      </c>
      <c r="C728" s="48" t="str">
        <f>IFERROR(__xludf.DUMMYFUNCTION("""COMPUTED_VALUE"""),"2")</f>
        <v>2</v>
      </c>
    </row>
    <row r="729">
      <c r="A729" s="48" t="str">
        <f>IFERROR(__xludf.DUMMYFUNCTION("""COMPUTED_VALUE"""),"20. Ação de Comunicação / Informação / Capacitação Externa")</f>
        <v>20. Ação de Comunicação / Informação / Capacitação Externa</v>
      </c>
      <c r="B729" s="54">
        <f>IFERROR(__xludf.DUMMYFUNCTION("""COMPUTED_VALUE"""),45470.0)</f>
        <v>45470</v>
      </c>
      <c r="C729" s="48"/>
    </row>
    <row r="730">
      <c r="A730" s="48" t="str">
        <f>IFERROR(__xludf.DUMMYFUNCTION("""COMPUTED_VALUE"""),"20. Ação de Comunicação / Informação / Capacitação Externa")</f>
        <v>20. Ação de Comunicação / Informação / Capacitação Externa</v>
      </c>
      <c r="B730" s="54">
        <f>IFERROR(__xludf.DUMMYFUNCTION("""COMPUTED_VALUE"""),45470.0)</f>
        <v>45470</v>
      </c>
      <c r="C730" s="48"/>
    </row>
    <row r="731">
      <c r="A731" s="48" t="str">
        <f>IFERROR(__xludf.DUMMYFUNCTION("""COMPUTED_VALUE"""),"24. Projetos ou atividades Específicos")</f>
        <v>24. Projetos ou atividades Específicos</v>
      </c>
      <c r="B731" s="54">
        <f>IFERROR(__xludf.DUMMYFUNCTION("""COMPUTED_VALUE"""),45470.0)</f>
        <v>45470</v>
      </c>
      <c r="C731" s="48"/>
    </row>
    <row r="732">
      <c r="A732" s="48" t="str">
        <f>IFERROR(__xludf.DUMMYFUNCTION("""COMPUTED_VALUE"""),"18. Mobilização Social")</f>
        <v>18. Mobilização Social</v>
      </c>
      <c r="B732" s="54">
        <f>IFERROR(__xludf.DUMMYFUNCTION("""COMPUTED_VALUE"""),45471.0)</f>
        <v>45471</v>
      </c>
      <c r="C732" s="48"/>
    </row>
    <row r="733">
      <c r="A733" s="48"/>
      <c r="B733" s="54"/>
      <c r="C733" s="48"/>
    </row>
    <row r="734">
      <c r="A734" s="48" t="str">
        <f>IFERROR(__xludf.DUMMYFUNCTION("""COMPUTED_VALUE"""),"24. Projetos ou atividades Específicos")</f>
        <v>24. Projetos ou atividades Específicos</v>
      </c>
      <c r="B734" s="54">
        <f>IFERROR(__xludf.DUMMYFUNCTION("""COMPUTED_VALUE"""),45474.0)</f>
        <v>45474</v>
      </c>
      <c r="C734" s="48"/>
    </row>
    <row r="735">
      <c r="A735" s="48" t="str">
        <f>IFERROR(__xludf.DUMMYFUNCTION("""COMPUTED_VALUE"""),"20. Ação de Comunicação / Informação / Capacitação Externa")</f>
        <v>20. Ação de Comunicação / Informação / Capacitação Externa</v>
      </c>
      <c r="B735" s="54">
        <f>IFERROR(__xludf.DUMMYFUNCTION("""COMPUTED_VALUE"""),45474.0)</f>
        <v>45474</v>
      </c>
      <c r="C735" s="48"/>
    </row>
    <row r="736">
      <c r="A736" s="48" t="str">
        <f>IFERROR(__xludf.DUMMYFUNCTION("""COMPUTED_VALUE"""),"21. Projetos Especiais")</f>
        <v>21. Projetos Especiais</v>
      </c>
      <c r="B736" s="54">
        <f>IFERROR(__xludf.DUMMYFUNCTION("""COMPUTED_VALUE"""),45474.0)</f>
        <v>45474</v>
      </c>
      <c r="C736" s="48"/>
    </row>
    <row r="737">
      <c r="A737" s="48" t="str">
        <f>IFERROR(__xludf.DUMMYFUNCTION("""COMPUTED_VALUE"""),"21. Projetos Especiais")</f>
        <v>21. Projetos Especiais</v>
      </c>
      <c r="B737" s="54">
        <f>IFERROR(__xludf.DUMMYFUNCTION("""COMPUTED_VALUE"""),45474.0)</f>
        <v>45474</v>
      </c>
      <c r="C737" s="48"/>
    </row>
    <row r="738">
      <c r="A738" s="48" t="str">
        <f>IFERROR(__xludf.DUMMYFUNCTION("""COMPUTED_VALUE"""),"26. Outro")</f>
        <v>26. Outro</v>
      </c>
      <c r="B738" s="54">
        <f>IFERROR(__xludf.DUMMYFUNCTION("""COMPUTED_VALUE"""),45474.0)</f>
        <v>45474</v>
      </c>
      <c r="C738" s="48"/>
    </row>
    <row r="739">
      <c r="A739" s="48" t="str">
        <f>IFERROR(__xludf.DUMMYFUNCTION("""COMPUTED_VALUE"""),"1. Alocação de água – Reunião de Alocação Participativa")</f>
        <v>1. Alocação de água – Reunião de Alocação Participativa</v>
      </c>
      <c r="B739" s="54">
        <f>IFERROR(__xludf.DUMMYFUNCTION("""COMPUTED_VALUE"""),45475.0)</f>
        <v>45475</v>
      </c>
      <c r="C739" s="48" t="str">
        <f>IFERROR(__xludf.DUMMYFUNCTION("""COMPUTED_VALUE"""),"1")</f>
        <v>1</v>
      </c>
    </row>
    <row r="740">
      <c r="A740" s="48" t="str">
        <f>IFERROR(__xludf.DUMMYFUNCTION("""COMPUTED_VALUE"""),"20. Ação de Comunicação / Informação / Capacitação Externa")</f>
        <v>20. Ação de Comunicação / Informação / Capacitação Externa</v>
      </c>
      <c r="B740" s="54">
        <f>IFERROR(__xludf.DUMMYFUNCTION("""COMPUTED_VALUE"""),45475.0)</f>
        <v>45475</v>
      </c>
      <c r="C740" s="48"/>
    </row>
    <row r="741">
      <c r="A741" s="48" t="str">
        <f>IFERROR(__xludf.DUMMYFUNCTION("""COMPUTED_VALUE"""),"20. Ação de Comunicação / Informação / Capacitação Externa")</f>
        <v>20. Ação de Comunicação / Informação / Capacitação Externa</v>
      </c>
      <c r="B741" s="54">
        <f>IFERROR(__xludf.DUMMYFUNCTION("""COMPUTED_VALUE"""),45475.0)</f>
        <v>45475</v>
      </c>
      <c r="C741" s="48"/>
    </row>
    <row r="742">
      <c r="A742" s="48" t="str">
        <f>IFERROR(__xludf.DUMMYFUNCTION("""COMPUTED_VALUE"""),"20. Ação de Comunicação / Informação / Capacitação Externa")</f>
        <v>20. Ação de Comunicação / Informação / Capacitação Externa</v>
      </c>
      <c r="B742" s="54">
        <f>IFERROR(__xludf.DUMMYFUNCTION("""COMPUTED_VALUE"""),45475.0)</f>
        <v>45475</v>
      </c>
      <c r="C742" s="48"/>
    </row>
    <row r="743">
      <c r="A743" s="48" t="str">
        <f>IFERROR(__xludf.DUMMYFUNCTION("""COMPUTED_VALUE"""),"1. Alocação de água – Reunião de Alocação Participativa")</f>
        <v>1. Alocação de água – Reunião de Alocação Participativa</v>
      </c>
      <c r="B743" s="54">
        <f>IFERROR(__xludf.DUMMYFUNCTION("""COMPUTED_VALUE"""),45476.0)</f>
        <v>45476</v>
      </c>
      <c r="C743" s="48"/>
    </row>
    <row r="744">
      <c r="A744" s="48" t="str">
        <f>IFERROR(__xludf.DUMMYFUNCTION("""COMPUTED_VALUE"""),"20. Ação de Comunicação / Informação / Capacitação Externa")</f>
        <v>20. Ação de Comunicação / Informação / Capacitação Externa</v>
      </c>
      <c r="B744" s="54">
        <f>IFERROR(__xludf.DUMMYFUNCTION("""COMPUTED_VALUE"""),45476.0)</f>
        <v>45476</v>
      </c>
      <c r="C744" s="48"/>
    </row>
    <row r="745">
      <c r="A745" s="48" t="str">
        <f>IFERROR(__xludf.DUMMYFUNCTION("""COMPUTED_VALUE"""),"20. Ação de Comunicação / Informação / Capacitação Externa")</f>
        <v>20. Ação de Comunicação / Informação / Capacitação Externa</v>
      </c>
      <c r="B745" s="54">
        <f>IFERROR(__xludf.DUMMYFUNCTION("""COMPUTED_VALUE"""),45476.0)</f>
        <v>45476</v>
      </c>
      <c r="C745" s="48"/>
    </row>
    <row r="746">
      <c r="A746" s="48" t="str">
        <f>IFERROR(__xludf.DUMMYFUNCTION("""COMPUTED_VALUE"""),"20. Ação de Comunicação / Informação / Capacitação Externa")</f>
        <v>20. Ação de Comunicação / Informação / Capacitação Externa</v>
      </c>
      <c r="B746" s="54">
        <f>IFERROR(__xludf.DUMMYFUNCTION("""COMPUTED_VALUE"""),45476.0)</f>
        <v>45476</v>
      </c>
      <c r="C746" s="48"/>
    </row>
    <row r="747">
      <c r="A747" s="48" t="str">
        <f>IFERROR(__xludf.DUMMYFUNCTION("""COMPUTED_VALUE"""),"18. Mobilização Social")</f>
        <v>18. Mobilização Social</v>
      </c>
      <c r="B747" s="54">
        <f>IFERROR(__xludf.DUMMYFUNCTION("""COMPUTED_VALUE"""),45477.0)</f>
        <v>45477</v>
      </c>
      <c r="C747" s="48"/>
    </row>
    <row r="748">
      <c r="A748" s="48" t="str">
        <f>IFERROR(__xludf.DUMMYFUNCTION("""COMPUTED_VALUE"""),"26. Outro")</f>
        <v>26. Outro</v>
      </c>
      <c r="B748" s="54">
        <f>IFERROR(__xludf.DUMMYFUNCTION("""COMPUTED_VALUE"""),45477.0)</f>
        <v>45477</v>
      </c>
      <c r="C748" s="48"/>
    </row>
    <row r="749">
      <c r="A749" s="48" t="str">
        <f>IFERROR(__xludf.DUMMYFUNCTION("""COMPUTED_VALUE"""),"20. Ação de Comunicação / Informação / Capacitação Externa")</f>
        <v>20. Ação de Comunicação / Informação / Capacitação Externa</v>
      </c>
      <c r="B749" s="54">
        <f>IFERROR(__xludf.DUMMYFUNCTION("""COMPUTED_VALUE"""),45477.0)</f>
        <v>45477</v>
      </c>
      <c r="C749" s="48"/>
    </row>
    <row r="750">
      <c r="A750" s="48" t="str">
        <f>IFERROR(__xludf.DUMMYFUNCTION("""COMPUTED_VALUE"""),"18. Mobilização Social")</f>
        <v>18. Mobilização Social</v>
      </c>
      <c r="B750" s="54">
        <f>IFERROR(__xludf.DUMMYFUNCTION("""COMPUTED_VALUE"""),45478.0)</f>
        <v>45478</v>
      </c>
      <c r="C750" s="48"/>
    </row>
    <row r="751">
      <c r="A751" s="48" t="str">
        <f>IFERROR(__xludf.DUMMYFUNCTION("""COMPUTED_VALUE"""),"26. Outro")</f>
        <v>26. Outro</v>
      </c>
      <c r="B751" s="54">
        <f>IFERROR(__xludf.DUMMYFUNCTION("""COMPUTED_VALUE"""),45478.0)</f>
        <v>45478</v>
      </c>
      <c r="C751" s="48"/>
    </row>
    <row r="752">
      <c r="A752" s="48" t="str">
        <f>IFERROR(__xludf.DUMMYFUNCTION("""COMPUTED_VALUE"""),"20. Ação de Comunicação / Informação / Capacitação Externa")</f>
        <v>20. Ação de Comunicação / Informação / Capacitação Externa</v>
      </c>
      <c r="B752" s="54">
        <f>IFERROR(__xludf.DUMMYFUNCTION("""COMPUTED_VALUE"""),45478.0)</f>
        <v>45478</v>
      </c>
      <c r="C752" s="48"/>
    </row>
    <row r="753">
      <c r="A753" s="48" t="str">
        <f>IFERROR(__xludf.DUMMYFUNCTION("""COMPUTED_VALUE"""),"20. Ação de Comunicação / Informação / Capacitação Externa")</f>
        <v>20. Ação de Comunicação / Informação / Capacitação Externa</v>
      </c>
      <c r="B753" s="54">
        <f>IFERROR(__xludf.DUMMYFUNCTION("""COMPUTED_VALUE"""),45478.0)</f>
        <v>45478</v>
      </c>
      <c r="C753" s="48"/>
    </row>
    <row r="754">
      <c r="A754" s="48" t="str">
        <f>IFERROR(__xludf.DUMMYFUNCTION("""COMPUTED_VALUE"""),"25. Atividade Relacinada a Cobrança/Faturamento")</f>
        <v>25. Atividade Relacinada a Cobrança/Faturamento</v>
      </c>
      <c r="B754" s="54">
        <f>IFERROR(__xludf.DUMMYFUNCTION("""COMPUTED_VALUE"""),45481.0)</f>
        <v>45481</v>
      </c>
      <c r="C754" s="48"/>
    </row>
    <row r="755">
      <c r="A755" s="48" t="str">
        <f>IFERROR(__xludf.DUMMYFUNCTION("""COMPUTED_VALUE"""),"1. Alocação de água – Reunião de Alocação Participativa")</f>
        <v>1. Alocação de água – Reunião de Alocação Participativa</v>
      </c>
      <c r="B755" s="54">
        <f>IFERROR(__xludf.DUMMYFUNCTION("""COMPUTED_VALUE"""),45481.0)</f>
        <v>45481</v>
      </c>
      <c r="C755" s="48"/>
    </row>
    <row r="756">
      <c r="A756" s="48" t="str">
        <f>IFERROR(__xludf.DUMMYFUNCTION("""COMPUTED_VALUE"""),"20. Ação de Comunicação / Informação / Capacitação Externa")</f>
        <v>20. Ação de Comunicação / Informação / Capacitação Externa</v>
      </c>
      <c r="B756" s="54">
        <f>IFERROR(__xludf.DUMMYFUNCTION("""COMPUTED_VALUE"""),45481.0)</f>
        <v>45481</v>
      </c>
      <c r="C756" s="48"/>
    </row>
    <row r="757">
      <c r="A757" s="48" t="str">
        <f>IFERROR(__xludf.DUMMYFUNCTION("""COMPUTED_VALUE"""),"20. Ação de Comunicação / Informação / Capacitação Externa")</f>
        <v>20. Ação de Comunicação / Informação / Capacitação Externa</v>
      </c>
      <c r="B757" s="54">
        <f>IFERROR(__xludf.DUMMYFUNCTION("""COMPUTED_VALUE"""),45481.0)</f>
        <v>45481</v>
      </c>
      <c r="C757" s="48"/>
    </row>
    <row r="758">
      <c r="A758" s="48" t="str">
        <f>IFERROR(__xludf.DUMMYFUNCTION("""COMPUTED_VALUE"""),"20. Ação de Comunicação / Informação / Capacitação Externa")</f>
        <v>20. Ação de Comunicação / Informação / Capacitação Externa</v>
      </c>
      <c r="B758" s="54">
        <f>IFERROR(__xludf.DUMMYFUNCTION("""COMPUTED_VALUE"""),45481.0)</f>
        <v>45481</v>
      </c>
      <c r="C758" s="48"/>
    </row>
    <row r="759">
      <c r="A759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759" s="54">
        <f>IFERROR(__xludf.DUMMYFUNCTION("""COMPUTED_VALUE"""),45481.0)</f>
        <v>45481</v>
      </c>
      <c r="C759" s="48"/>
    </row>
    <row r="760">
      <c r="A760" s="48" t="str">
        <f>IFERROR(__xludf.DUMMYFUNCTION("""COMPUTED_VALUE"""),"25. Atividade Relacinada a Cobrança/Faturamento")</f>
        <v>25. Atividade Relacinada a Cobrança/Faturamento</v>
      </c>
      <c r="B760" s="54">
        <f>IFERROR(__xludf.DUMMYFUNCTION("""COMPUTED_VALUE"""),45482.0)</f>
        <v>45482</v>
      </c>
      <c r="C760" s="48"/>
    </row>
    <row r="761">
      <c r="A761" s="48" t="str">
        <f>IFERROR(__xludf.DUMMYFUNCTION("""COMPUTED_VALUE"""),"18. Mobilização Social")</f>
        <v>18. Mobilização Social</v>
      </c>
      <c r="B761" s="54">
        <f>IFERROR(__xludf.DUMMYFUNCTION("""COMPUTED_VALUE"""),45482.0)</f>
        <v>45482</v>
      </c>
      <c r="C761" s="48"/>
    </row>
    <row r="762">
      <c r="A762" s="48" t="str">
        <f>IFERROR(__xludf.DUMMYFUNCTION("""COMPUTED_VALUE"""),"25. Atividade Relacinada a Cobrança/Faturamento")</f>
        <v>25. Atividade Relacinada a Cobrança/Faturamento</v>
      </c>
      <c r="B762" s="54">
        <f>IFERROR(__xludf.DUMMYFUNCTION("""COMPUTED_VALUE"""),45483.0)</f>
        <v>45483</v>
      </c>
      <c r="C762" s="48"/>
    </row>
    <row r="763">
      <c r="A763" s="48" t="str">
        <f>IFERROR(__xludf.DUMMYFUNCTION("""COMPUTED_VALUE"""),"20. Ação de Comunicação / Informação / Capacitação Externa")</f>
        <v>20. Ação de Comunicação / Informação / Capacitação Externa</v>
      </c>
      <c r="B763" s="54">
        <f>IFERROR(__xludf.DUMMYFUNCTION("""COMPUTED_VALUE"""),45483.0)</f>
        <v>45483</v>
      </c>
      <c r="C763" s="48"/>
    </row>
    <row r="764">
      <c r="A764" s="48" t="str">
        <f>IFERROR(__xludf.DUMMYFUNCTION("""COMPUTED_VALUE"""),"1. Alocação de água – Reunião de Alocação Participativa")</f>
        <v>1. Alocação de água – Reunião de Alocação Participativa</v>
      </c>
      <c r="B764" s="54">
        <f>IFERROR(__xludf.DUMMYFUNCTION("""COMPUTED_VALUE"""),45484.0)</f>
        <v>45484</v>
      </c>
      <c r="C764" s="48"/>
    </row>
    <row r="765">
      <c r="A765" s="48" t="str">
        <f>IFERROR(__xludf.DUMMYFUNCTION("""COMPUTED_VALUE"""),"20. Ação de Comunicação / Informação / Capacitação Externa")</f>
        <v>20. Ação de Comunicação / Informação / Capacitação Externa</v>
      </c>
      <c r="B765" s="54">
        <f>IFERROR(__xludf.DUMMYFUNCTION("""COMPUTED_VALUE"""),45484.0)</f>
        <v>45484</v>
      </c>
      <c r="C765" s="48"/>
    </row>
    <row r="766">
      <c r="A766" s="48" t="str">
        <f>IFERROR(__xludf.DUMMYFUNCTION("""COMPUTED_VALUE"""),"20. Ação de Comunicação / Informação / Capacitação Externa")</f>
        <v>20. Ação de Comunicação / Informação / Capacitação Externa</v>
      </c>
      <c r="B766" s="54">
        <f>IFERROR(__xludf.DUMMYFUNCTION("""COMPUTED_VALUE"""),45484.0)</f>
        <v>45484</v>
      </c>
      <c r="C766" s="48"/>
    </row>
    <row r="767">
      <c r="A767" s="48" t="str">
        <f>IFERROR(__xludf.DUMMYFUNCTION("""COMPUTED_VALUE"""),"20. Ação de Comunicação / Informação / Capacitação Externa")</f>
        <v>20. Ação de Comunicação / Informação / Capacitação Externa</v>
      </c>
      <c r="B767" s="54">
        <f>IFERROR(__xludf.DUMMYFUNCTION("""COMPUTED_VALUE"""),45484.0)</f>
        <v>45484</v>
      </c>
      <c r="C767" s="48"/>
    </row>
    <row r="768">
      <c r="A768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768" s="54">
        <f>IFERROR(__xludf.DUMMYFUNCTION("""COMPUTED_VALUE"""),45484.0)</f>
        <v>45484</v>
      </c>
      <c r="C768" s="48"/>
    </row>
    <row r="769">
      <c r="A769" s="48" t="str">
        <f>IFERROR(__xludf.DUMMYFUNCTION("""COMPUTED_VALUE"""),"26. Outro")</f>
        <v>26. Outro</v>
      </c>
      <c r="B769" s="54">
        <f>IFERROR(__xludf.DUMMYFUNCTION("""COMPUTED_VALUE"""),45484.0)</f>
        <v>45484</v>
      </c>
      <c r="C769" s="48"/>
    </row>
    <row r="770">
      <c r="A770" s="48" t="str">
        <f>IFERROR(__xludf.DUMMYFUNCTION("""COMPUTED_VALUE"""),"20. Ação de Comunicação / Informação / Capacitação Externa")</f>
        <v>20. Ação de Comunicação / Informação / Capacitação Externa</v>
      </c>
      <c r="B770" s="54">
        <f>IFERROR(__xludf.DUMMYFUNCTION("""COMPUTED_VALUE"""),45485.0)</f>
        <v>45485</v>
      </c>
      <c r="C770" s="48"/>
    </row>
    <row r="771">
      <c r="A771" s="48" t="str">
        <f>IFERROR(__xludf.DUMMYFUNCTION("""COMPUTED_VALUE"""),"24. Projetos ou atividades Específicos")</f>
        <v>24. Projetos ou atividades Específicos</v>
      </c>
      <c r="B771" s="54">
        <f>IFERROR(__xludf.DUMMYFUNCTION("""COMPUTED_VALUE"""),45485.0)</f>
        <v>45485</v>
      </c>
      <c r="C771" s="48"/>
    </row>
    <row r="772">
      <c r="A772" s="48" t="str">
        <f>IFERROR(__xludf.DUMMYFUNCTION("""COMPUTED_VALUE"""),"24. Projetos ou atividades Específicos")</f>
        <v>24. Projetos ou atividades Específicos</v>
      </c>
      <c r="B772" s="54">
        <f>IFERROR(__xludf.DUMMYFUNCTION("""COMPUTED_VALUE"""),45488.0)</f>
        <v>45488</v>
      </c>
      <c r="C772" s="48"/>
    </row>
    <row r="773">
      <c r="A773" s="48" t="str">
        <f>IFERROR(__xludf.DUMMYFUNCTION("""COMPUTED_VALUE"""),"26. Outro")</f>
        <v>26. Outro</v>
      </c>
      <c r="B773" s="54">
        <f>IFERROR(__xludf.DUMMYFUNCTION("""COMPUTED_VALUE"""),45488.0)</f>
        <v>45488</v>
      </c>
      <c r="C773" s="48"/>
    </row>
    <row r="774">
      <c r="A774" s="48" t="str">
        <f>IFERROR(__xludf.DUMMYFUNCTION("""COMPUTED_VALUE"""),"25. Atividade Relacinada a Cobrança/Faturamento")</f>
        <v>25. Atividade Relacinada a Cobrança/Faturamento</v>
      </c>
      <c r="B774" s="54">
        <f>IFERROR(__xludf.DUMMYFUNCTION("""COMPUTED_VALUE"""),45488.0)</f>
        <v>45488</v>
      </c>
      <c r="C774" s="48"/>
    </row>
    <row r="775">
      <c r="A775" s="48" t="str">
        <f>IFERROR(__xludf.DUMMYFUNCTION("""COMPUTED_VALUE"""),"1. Alocação de água – Reunião de Alocação Participativa")</f>
        <v>1. Alocação de água – Reunião de Alocação Participativa</v>
      </c>
      <c r="B775" s="54">
        <f>IFERROR(__xludf.DUMMYFUNCTION("""COMPUTED_VALUE"""),45489.0)</f>
        <v>45489</v>
      </c>
      <c r="C775" s="48"/>
    </row>
    <row r="776">
      <c r="A776" s="48" t="str">
        <f>IFERROR(__xludf.DUMMYFUNCTION("""COMPUTED_VALUE"""),"20. Ação de Comunicação / Informação / Capacitação Externa")</f>
        <v>20. Ação de Comunicação / Informação / Capacitação Externa</v>
      </c>
      <c r="B776" s="54">
        <f>IFERROR(__xludf.DUMMYFUNCTION("""COMPUTED_VALUE"""),45489.0)</f>
        <v>45489</v>
      </c>
      <c r="C776" s="48"/>
    </row>
    <row r="777">
      <c r="A777" s="48" t="str">
        <f>IFERROR(__xludf.DUMMYFUNCTION("""COMPUTED_VALUE"""),"20. Ação de Comunicação / Informação / Capacitação Externa")</f>
        <v>20. Ação de Comunicação / Informação / Capacitação Externa</v>
      </c>
      <c r="B777" s="54">
        <f>IFERROR(__xludf.DUMMYFUNCTION("""COMPUTED_VALUE"""),45489.0)</f>
        <v>45489</v>
      </c>
      <c r="C777" s="48"/>
    </row>
    <row r="778">
      <c r="A778" s="48" t="str">
        <f>IFERROR(__xludf.DUMMYFUNCTION("""COMPUTED_VALUE"""),"18. Mobilização Social")</f>
        <v>18. Mobilização Social</v>
      </c>
      <c r="B778" s="54">
        <f>IFERROR(__xludf.DUMMYFUNCTION("""COMPUTED_VALUE"""),45489.0)</f>
        <v>45489</v>
      </c>
      <c r="C778" s="48"/>
    </row>
    <row r="779">
      <c r="A779" s="48" t="str">
        <f>IFERROR(__xludf.DUMMYFUNCTION("""COMPUTED_VALUE"""),"1. Alocação de água – Reunião de Alocação Participativa")</f>
        <v>1. Alocação de água – Reunião de Alocação Participativa</v>
      </c>
      <c r="B779" s="54">
        <f>IFERROR(__xludf.DUMMYFUNCTION("""COMPUTED_VALUE"""),45490.0)</f>
        <v>45490</v>
      </c>
      <c r="C779" s="48"/>
    </row>
    <row r="780">
      <c r="A780" s="48" t="str">
        <f>IFERROR(__xludf.DUMMYFUNCTION("""COMPUTED_VALUE"""),"1. Alocação de água – Reunião de Alocação Participativa")</f>
        <v>1. Alocação de água – Reunião de Alocação Participativa</v>
      </c>
      <c r="B780" s="54">
        <f>IFERROR(__xludf.DUMMYFUNCTION("""COMPUTED_VALUE"""),45490.0)</f>
        <v>45490</v>
      </c>
      <c r="C780" s="48"/>
    </row>
    <row r="781">
      <c r="A781" s="48" t="str">
        <f>IFERROR(__xludf.DUMMYFUNCTION("""COMPUTED_VALUE"""),"20. Ação de Comunicação / Informação / Capacitação Externa")</f>
        <v>20. Ação de Comunicação / Informação / Capacitação Externa</v>
      </c>
      <c r="B781" s="54">
        <f>IFERROR(__xludf.DUMMYFUNCTION("""COMPUTED_VALUE"""),45490.0)</f>
        <v>45490</v>
      </c>
      <c r="C781" s="48"/>
    </row>
    <row r="782">
      <c r="A782" s="48" t="str">
        <f>IFERROR(__xludf.DUMMYFUNCTION("""COMPUTED_VALUE"""),"20. Ação de Comunicação / Informação / Capacitação Externa")</f>
        <v>20. Ação de Comunicação / Informação / Capacitação Externa</v>
      </c>
      <c r="B782" s="54">
        <f>IFERROR(__xludf.DUMMYFUNCTION("""COMPUTED_VALUE"""),45490.0)</f>
        <v>45490</v>
      </c>
      <c r="C782" s="48"/>
    </row>
    <row r="783">
      <c r="A783" s="48" t="str">
        <f>IFERROR(__xludf.DUMMYFUNCTION("""COMPUTED_VALUE"""),"20. Ação de Comunicação / Informação / Capacitação Externa")</f>
        <v>20. Ação de Comunicação / Informação / Capacitação Externa</v>
      </c>
      <c r="B783" s="54">
        <f>IFERROR(__xludf.DUMMYFUNCTION("""COMPUTED_VALUE"""),45490.0)</f>
        <v>45490</v>
      </c>
      <c r="C783" s="48"/>
    </row>
    <row r="784">
      <c r="A784" s="48" t="str">
        <f>IFERROR(__xludf.DUMMYFUNCTION("""COMPUTED_VALUE"""),"1. Alocação de água – Reunião de Alocação Participativa")</f>
        <v>1. Alocação de água – Reunião de Alocação Participativa</v>
      </c>
      <c r="B784" s="54">
        <f>IFERROR(__xludf.DUMMYFUNCTION("""COMPUTED_VALUE"""),45491.0)</f>
        <v>45491</v>
      </c>
      <c r="C784" s="48"/>
    </row>
    <row r="785">
      <c r="A785" s="48" t="str">
        <f>IFERROR(__xludf.DUMMYFUNCTION("""COMPUTED_VALUE"""),"20. Ação de Comunicação / Informação / Capacitação Externa")</f>
        <v>20. Ação de Comunicação / Informação / Capacitação Externa</v>
      </c>
      <c r="B785" s="54">
        <f>IFERROR(__xludf.DUMMYFUNCTION("""COMPUTED_VALUE"""),45491.0)</f>
        <v>45491</v>
      </c>
      <c r="C785" s="48"/>
    </row>
    <row r="786">
      <c r="A786" s="48" t="str">
        <f>IFERROR(__xludf.DUMMYFUNCTION("""COMPUTED_VALUE"""),"20. Ação de Comunicação / Informação / Capacitação Externa")</f>
        <v>20. Ação de Comunicação / Informação / Capacitação Externa</v>
      </c>
      <c r="B786" s="54">
        <f>IFERROR(__xludf.DUMMYFUNCTION("""COMPUTED_VALUE"""),45491.0)</f>
        <v>45491</v>
      </c>
      <c r="C786" s="48"/>
    </row>
    <row r="787">
      <c r="A787" s="48" t="str">
        <f>IFERROR(__xludf.DUMMYFUNCTION("""COMPUTED_VALUE"""),"20. Ação de Comunicação / Informação / Capacitação Externa")</f>
        <v>20. Ação de Comunicação / Informação / Capacitação Externa</v>
      </c>
      <c r="B787" s="54">
        <f>IFERROR(__xludf.DUMMYFUNCTION("""COMPUTED_VALUE"""),45491.0)</f>
        <v>45491</v>
      </c>
      <c r="C787" s="48"/>
    </row>
    <row r="788">
      <c r="A788" s="48" t="str">
        <f>IFERROR(__xludf.DUMMYFUNCTION("""COMPUTED_VALUE"""),"26. Outro")</f>
        <v>26. Outro</v>
      </c>
      <c r="B788" s="54">
        <f>IFERROR(__xludf.DUMMYFUNCTION("""COMPUTED_VALUE"""),45491.0)</f>
        <v>45491</v>
      </c>
      <c r="C788" s="48"/>
    </row>
    <row r="789">
      <c r="A789" s="48" t="str">
        <f>IFERROR(__xludf.DUMMYFUNCTION("""COMPUTED_VALUE"""),"26. Outro")</f>
        <v>26. Outro</v>
      </c>
      <c r="B789" s="54">
        <f>IFERROR(__xludf.DUMMYFUNCTION("""COMPUTED_VALUE"""),45492.0)</f>
        <v>45492</v>
      </c>
      <c r="C789" s="48"/>
    </row>
    <row r="790">
      <c r="A790" s="48" t="str">
        <f>IFERROR(__xludf.DUMMYFUNCTION("""COMPUTED_VALUE"""),"20. Ação de Comunicação / Informação / Capacitação Externa")</f>
        <v>20. Ação de Comunicação / Informação / Capacitação Externa</v>
      </c>
      <c r="B790" s="54">
        <f>IFERROR(__xludf.DUMMYFUNCTION("""COMPUTED_VALUE"""),45492.0)</f>
        <v>45492</v>
      </c>
      <c r="C790" s="48"/>
    </row>
    <row r="791">
      <c r="A791" s="48" t="str">
        <f>IFERROR(__xludf.DUMMYFUNCTION("""COMPUTED_VALUE"""),"20. Ação de Comunicação / Informação / Capacitação Externa")</f>
        <v>20. Ação de Comunicação / Informação / Capacitação Externa</v>
      </c>
      <c r="B791" s="54">
        <f>IFERROR(__xludf.DUMMYFUNCTION("""COMPUTED_VALUE"""),45492.0)</f>
        <v>45492</v>
      </c>
      <c r="C791" s="48"/>
    </row>
    <row r="792">
      <c r="A792" s="48" t="str">
        <f>IFERROR(__xludf.DUMMYFUNCTION("""COMPUTED_VALUE"""),"20. Ação de Comunicação / Informação / Capacitação Externa")</f>
        <v>20. Ação de Comunicação / Informação / Capacitação Externa</v>
      </c>
      <c r="B792" s="54">
        <f>IFERROR(__xludf.DUMMYFUNCTION("""COMPUTED_VALUE"""),45495.0)</f>
        <v>45495</v>
      </c>
      <c r="C792" s="48"/>
    </row>
    <row r="793">
      <c r="A793" s="48" t="str">
        <f>IFERROR(__xludf.DUMMYFUNCTION("""COMPUTED_VALUE"""),"20. Ação de Comunicação / Informação / Capacitação Externa")</f>
        <v>20. Ação de Comunicação / Informação / Capacitação Externa</v>
      </c>
      <c r="B793" s="54">
        <f>IFERROR(__xludf.DUMMYFUNCTION("""COMPUTED_VALUE"""),45495.0)</f>
        <v>45495</v>
      </c>
      <c r="C793" s="48"/>
    </row>
    <row r="794">
      <c r="A794" s="48" t="str">
        <f>IFERROR(__xludf.DUMMYFUNCTION("""COMPUTED_VALUE"""),"25. Atividade Relacinada a Cobrança/Faturamento")</f>
        <v>25. Atividade Relacinada a Cobrança/Faturamento</v>
      </c>
      <c r="B794" s="54">
        <f>IFERROR(__xludf.DUMMYFUNCTION("""COMPUTED_VALUE"""),45495.0)</f>
        <v>45495</v>
      </c>
      <c r="C794" s="48"/>
    </row>
    <row r="795">
      <c r="A795" s="48" t="str">
        <f>IFERROR(__xludf.DUMMYFUNCTION("""COMPUTED_VALUE"""),"8. CBH – Reunião de Diretoria do CBH")</f>
        <v>8. CBH – Reunião de Diretoria do CBH</v>
      </c>
      <c r="B795" s="54">
        <f>IFERROR(__xludf.DUMMYFUNCTION("""COMPUTED_VALUE"""),45496.0)</f>
        <v>45496</v>
      </c>
      <c r="C795" s="48"/>
    </row>
    <row r="796">
      <c r="A796" s="48" t="str">
        <f>IFERROR(__xludf.DUMMYFUNCTION("""COMPUTED_VALUE"""),"20. Ação de Comunicação / Informação / Capacitação Externa")</f>
        <v>20. Ação de Comunicação / Informação / Capacitação Externa</v>
      </c>
      <c r="B796" s="54">
        <f>IFERROR(__xludf.DUMMYFUNCTION("""COMPUTED_VALUE"""),45496.0)</f>
        <v>45496</v>
      </c>
      <c r="C796" s="48"/>
    </row>
    <row r="797">
      <c r="A797" s="48" t="str">
        <f>IFERROR(__xludf.DUMMYFUNCTION("""COMPUTED_VALUE"""),"20. Ação de Comunicação / Informação / Capacitação Externa")</f>
        <v>20. Ação de Comunicação / Informação / Capacitação Externa</v>
      </c>
      <c r="B797" s="54">
        <f>IFERROR(__xludf.DUMMYFUNCTION("""COMPUTED_VALUE"""),45496.0)</f>
        <v>45496</v>
      </c>
      <c r="C797" s="48"/>
    </row>
    <row r="798">
      <c r="A798" s="48" t="str">
        <f>IFERROR(__xludf.DUMMYFUNCTION("""COMPUTED_VALUE"""),"20. Ação de Comunicação / Informação / Capacitação Externa")</f>
        <v>20. Ação de Comunicação / Informação / Capacitação Externa</v>
      </c>
      <c r="B798" s="54">
        <f>IFERROR(__xludf.DUMMYFUNCTION("""COMPUTED_VALUE"""),45496.0)</f>
        <v>45496</v>
      </c>
      <c r="C798" s="48"/>
    </row>
    <row r="799">
      <c r="A799" s="48" t="str">
        <f>IFERROR(__xludf.DUMMYFUNCTION("""COMPUTED_VALUE"""),"24. Projetos ou atividades Específicos")</f>
        <v>24. Projetos ou atividades Específicos</v>
      </c>
      <c r="B799" s="54">
        <f>IFERROR(__xludf.DUMMYFUNCTION("""COMPUTED_VALUE"""),45497.0)</f>
        <v>45497</v>
      </c>
      <c r="C799" s="48"/>
    </row>
    <row r="800">
      <c r="A800" s="48" t="str">
        <f>IFERROR(__xludf.DUMMYFUNCTION("""COMPUTED_VALUE"""),"24. Projetos ou atividades Específicos")</f>
        <v>24. Projetos ou atividades Específicos</v>
      </c>
      <c r="B800" s="54">
        <f>IFERROR(__xludf.DUMMYFUNCTION("""COMPUTED_VALUE"""),45498.0)</f>
        <v>45498</v>
      </c>
      <c r="C800" s="48"/>
    </row>
    <row r="801">
      <c r="A801" s="48" t="str">
        <f>IFERROR(__xludf.DUMMYFUNCTION("""COMPUTED_VALUE"""),"26. Outro")</f>
        <v>26. Outro</v>
      </c>
      <c r="B801" s="54">
        <f>IFERROR(__xludf.DUMMYFUNCTION("""COMPUTED_VALUE"""),45498.0)</f>
        <v>45498</v>
      </c>
      <c r="C801" s="48"/>
    </row>
    <row r="802">
      <c r="A802" s="48" t="str">
        <f>IFERROR(__xludf.DUMMYFUNCTION("""COMPUTED_VALUE"""),"26. Outro")</f>
        <v>26. Outro</v>
      </c>
      <c r="B802" s="54">
        <f>IFERROR(__xludf.DUMMYFUNCTION("""COMPUTED_VALUE"""),45499.0)</f>
        <v>45499</v>
      </c>
      <c r="C802" s="48"/>
    </row>
    <row r="803">
      <c r="A803" s="48" t="str">
        <f>IFERROR(__xludf.DUMMYFUNCTION("""COMPUTED_VALUE"""),"20. Ação de Comunicação / Informação / Capacitação Externa")</f>
        <v>20. Ação de Comunicação / Informação / Capacitação Externa</v>
      </c>
      <c r="B803" s="54">
        <f>IFERROR(__xludf.DUMMYFUNCTION("""COMPUTED_VALUE"""),45502.0)</f>
        <v>45502</v>
      </c>
      <c r="C803" s="48"/>
    </row>
    <row r="804">
      <c r="A804" s="48" t="str">
        <f>IFERROR(__xludf.DUMMYFUNCTION("""COMPUTED_VALUE"""),"25. Atividade Relacinada a Cobrança/Faturamento")</f>
        <v>25. Atividade Relacinada a Cobrança/Faturamento</v>
      </c>
      <c r="B804" s="54">
        <f>IFERROR(__xludf.DUMMYFUNCTION("""COMPUTED_VALUE"""),45503.0)</f>
        <v>45503</v>
      </c>
      <c r="C804" s="48"/>
    </row>
    <row r="805">
      <c r="A805" s="48" t="str">
        <f>IFERROR(__xludf.DUMMYFUNCTION("""COMPUTED_VALUE"""),"20. Ação de Comunicação / Informação / Capacitação Externa")</f>
        <v>20. Ação de Comunicação / Informação / Capacitação Externa</v>
      </c>
      <c r="B805" s="54">
        <f>IFERROR(__xludf.DUMMYFUNCTION("""COMPUTED_VALUE"""),45503.0)</f>
        <v>45503</v>
      </c>
      <c r="C805" s="48"/>
    </row>
    <row r="806">
      <c r="A806" s="48" t="str">
        <f>IFERROR(__xludf.DUMMYFUNCTION("""COMPUTED_VALUE"""),"20. Ação de Comunicação / Informação / Capacitação Externa")</f>
        <v>20. Ação de Comunicação / Informação / Capacitação Externa</v>
      </c>
      <c r="B806" s="54">
        <f>IFERROR(__xludf.DUMMYFUNCTION("""COMPUTED_VALUE"""),45504.0)</f>
        <v>45504</v>
      </c>
      <c r="C806" s="48"/>
    </row>
    <row r="807">
      <c r="A807" s="48" t="str">
        <f>IFERROR(__xludf.DUMMYFUNCTION("""COMPUTED_VALUE"""),"24. Projetos ou atividades Específicos")</f>
        <v>24. Projetos ou atividades Específicos</v>
      </c>
      <c r="B807" s="54">
        <f>IFERROR(__xludf.DUMMYFUNCTION("""COMPUTED_VALUE"""),45504.0)</f>
        <v>45504</v>
      </c>
      <c r="C807" s="48"/>
    </row>
    <row r="808">
      <c r="A808" s="48" t="str">
        <f>IFERROR(__xludf.DUMMYFUNCTION("""COMPUTED_VALUE"""),"26. Outro")</f>
        <v>26. Outro</v>
      </c>
      <c r="B808" s="54">
        <f>IFERROR(__xludf.DUMMYFUNCTION("""COMPUTED_VALUE"""),45505.0)</f>
        <v>45505</v>
      </c>
      <c r="C808" s="48"/>
    </row>
    <row r="809">
      <c r="A809" s="48" t="str">
        <f>IFERROR(__xludf.DUMMYFUNCTION("""COMPUTED_VALUE"""),"21. Projetos Especiais")</f>
        <v>21. Projetos Especiais</v>
      </c>
      <c r="B809" s="54">
        <f>IFERROR(__xludf.DUMMYFUNCTION("""COMPUTED_VALUE"""),45505.0)</f>
        <v>45505</v>
      </c>
      <c r="C809" s="48"/>
    </row>
    <row r="810">
      <c r="A810" s="48" t="str">
        <f>IFERROR(__xludf.DUMMYFUNCTION("""COMPUTED_VALUE"""),"20. Ação de Comunicação / Informação / Capacitação Externa")</f>
        <v>20. Ação de Comunicação / Informação / Capacitação Externa</v>
      </c>
      <c r="B810" s="54">
        <f>IFERROR(__xludf.DUMMYFUNCTION("""COMPUTED_VALUE"""),45505.0)</f>
        <v>45505</v>
      </c>
      <c r="C810" s="48"/>
    </row>
    <row r="811">
      <c r="A811" s="48" t="str">
        <f>IFERROR(__xludf.DUMMYFUNCTION("""COMPUTED_VALUE"""),"21. Projetos Especiais")</f>
        <v>21. Projetos Especiais</v>
      </c>
      <c r="B811" s="54">
        <f>IFERROR(__xludf.DUMMYFUNCTION("""COMPUTED_VALUE"""),45505.0)</f>
        <v>45505</v>
      </c>
      <c r="C811" s="48"/>
    </row>
    <row r="812">
      <c r="A812" s="48" t="str">
        <f>IFERROR(__xludf.DUMMYFUNCTION("""COMPUTED_VALUE"""),"20. Ação de Comunicação / Informação / Capacitação Externa")</f>
        <v>20. Ação de Comunicação / Informação / Capacitação Externa</v>
      </c>
      <c r="B812" s="54">
        <f>IFERROR(__xludf.DUMMYFUNCTION("""COMPUTED_VALUE"""),45506.0)</f>
        <v>45506</v>
      </c>
      <c r="C812" s="48"/>
    </row>
    <row r="813">
      <c r="A813" s="48" t="str">
        <f>IFERROR(__xludf.DUMMYFUNCTION("""COMPUTED_VALUE"""),"12. CBH – Reunião do Fórum Cearense de Comitê")</f>
        <v>12. CBH – Reunião do Fórum Cearense de Comitê</v>
      </c>
      <c r="B813" s="54">
        <f>IFERROR(__xludf.DUMMYFUNCTION("""COMPUTED_VALUE"""),45509.0)</f>
        <v>45509</v>
      </c>
      <c r="C813" s="48"/>
    </row>
    <row r="814">
      <c r="A814" s="48" t="str">
        <f>IFERROR(__xludf.DUMMYFUNCTION("""COMPUTED_VALUE"""),"20. Ação de Comunicação / Informação / Capacitação Externa")</f>
        <v>20. Ação de Comunicação / Informação / Capacitação Externa</v>
      </c>
      <c r="B814" s="54">
        <f>IFERROR(__xludf.DUMMYFUNCTION("""COMPUTED_VALUE"""),45509.0)</f>
        <v>45509</v>
      </c>
      <c r="C814" s="48"/>
    </row>
    <row r="815">
      <c r="A815" s="48" t="str">
        <f>IFERROR(__xludf.DUMMYFUNCTION("""COMPUTED_VALUE"""),"18. Mobilização Social")</f>
        <v>18. Mobilização Social</v>
      </c>
      <c r="B815" s="54">
        <f>IFERROR(__xludf.DUMMYFUNCTION("""COMPUTED_VALUE"""),45509.0)</f>
        <v>45509</v>
      </c>
      <c r="C815" s="48"/>
    </row>
    <row r="816">
      <c r="A816" s="48" t="str">
        <f>IFERROR(__xludf.DUMMYFUNCTION("""COMPUTED_VALUE"""),"12. CBH – Reunião do Fórum Cearense de Comitê")</f>
        <v>12. CBH – Reunião do Fórum Cearense de Comitê</v>
      </c>
      <c r="B816" s="54">
        <f>IFERROR(__xludf.DUMMYFUNCTION("""COMPUTED_VALUE"""),45510.0)</f>
        <v>45510</v>
      </c>
      <c r="C816" s="48"/>
    </row>
    <row r="817">
      <c r="A817" s="48" t="str">
        <f>IFERROR(__xludf.DUMMYFUNCTION("""COMPUTED_VALUE"""),"20. Ação de Comunicação / Informação / Capacitação Externa")</f>
        <v>20. Ação de Comunicação / Informação / Capacitação Externa</v>
      </c>
      <c r="B817" s="54">
        <f>IFERROR(__xludf.DUMMYFUNCTION("""COMPUTED_VALUE"""),45511.0)</f>
        <v>45511</v>
      </c>
      <c r="C817" s="48"/>
    </row>
    <row r="818">
      <c r="A818" s="48" t="str">
        <f>IFERROR(__xludf.DUMMYFUNCTION("""COMPUTED_VALUE"""),"25. Atividade Relacinada a Cobrança/Faturamento")</f>
        <v>25. Atividade Relacinada a Cobrança/Faturamento</v>
      </c>
      <c r="B818" s="54">
        <f>IFERROR(__xludf.DUMMYFUNCTION("""COMPUTED_VALUE"""),45511.0)</f>
        <v>45511</v>
      </c>
      <c r="C818" s="48"/>
    </row>
    <row r="819">
      <c r="A819" s="48" t="str">
        <f>IFERROR(__xludf.DUMMYFUNCTION("""COMPUTED_VALUE"""),"26. Outro")</f>
        <v>26. Outro</v>
      </c>
      <c r="B819" s="54">
        <f>IFERROR(__xludf.DUMMYFUNCTION("""COMPUTED_VALUE"""),45512.0)</f>
        <v>45512</v>
      </c>
      <c r="C819" s="48"/>
    </row>
    <row r="820">
      <c r="A820" s="48" t="str">
        <f>IFERROR(__xludf.DUMMYFUNCTION("""COMPUTED_VALUE"""),"21. Projetos Especiais")</f>
        <v>21. Projetos Especiais</v>
      </c>
      <c r="B820" s="54">
        <f>IFERROR(__xludf.DUMMYFUNCTION("""COMPUTED_VALUE"""),45512.0)</f>
        <v>45512</v>
      </c>
      <c r="C820" s="48" t="str">
        <f>IFERROR(__xludf.DUMMYFUNCTION("""COMPUTED_VALUE"""),"1")</f>
        <v>1</v>
      </c>
    </row>
    <row r="821">
      <c r="A821" s="48" t="str">
        <f>IFERROR(__xludf.DUMMYFUNCTION("""COMPUTED_VALUE"""),"25. Atividade Relacinada a Cobrança/Faturamento")</f>
        <v>25. Atividade Relacinada a Cobrança/Faturamento</v>
      </c>
      <c r="B821" s="54">
        <f>IFERROR(__xludf.DUMMYFUNCTION("""COMPUTED_VALUE"""),45513.0)</f>
        <v>45513</v>
      </c>
      <c r="C821" s="48"/>
    </row>
    <row r="822">
      <c r="A822" s="48" t="str">
        <f>IFERROR(__xludf.DUMMYFUNCTION("""COMPUTED_VALUE"""),"26. Outro")</f>
        <v>26. Outro</v>
      </c>
      <c r="B822" s="54">
        <f>IFERROR(__xludf.DUMMYFUNCTION("""COMPUTED_VALUE"""),45516.0)</f>
        <v>45516</v>
      </c>
      <c r="C822" s="48"/>
    </row>
    <row r="823">
      <c r="A823" s="48" t="str">
        <f>IFERROR(__xludf.DUMMYFUNCTION("""COMPUTED_VALUE"""),"26. Outro")</f>
        <v>26. Outro</v>
      </c>
      <c r="B823" s="54">
        <f>IFERROR(__xludf.DUMMYFUNCTION("""COMPUTED_VALUE"""),45516.0)</f>
        <v>45516</v>
      </c>
      <c r="C823" s="48"/>
    </row>
    <row r="824">
      <c r="A824" s="48" t="str">
        <f>IFERROR(__xludf.DUMMYFUNCTION("""COMPUTED_VALUE"""),"26. Outro")</f>
        <v>26. Outro</v>
      </c>
      <c r="B824" s="54">
        <f>IFERROR(__xludf.DUMMYFUNCTION("""COMPUTED_VALUE"""),45517.0)</f>
        <v>45517</v>
      </c>
      <c r="C824" s="48"/>
    </row>
    <row r="825">
      <c r="A825" s="48" t="str">
        <f>IFERROR(__xludf.DUMMYFUNCTION("""COMPUTED_VALUE"""),"20. Ação de Comunicação / Informação / Capacitação Externa")</f>
        <v>20. Ação de Comunicação / Informação / Capacitação Externa</v>
      </c>
      <c r="B825" s="54">
        <f>IFERROR(__xludf.DUMMYFUNCTION("""COMPUTED_VALUE"""),45517.0)</f>
        <v>45517</v>
      </c>
      <c r="C825" s="48"/>
    </row>
    <row r="826">
      <c r="A826" s="48" t="str">
        <f>IFERROR(__xludf.DUMMYFUNCTION("""COMPUTED_VALUE"""),"21. Projetos Especiais")</f>
        <v>21. Projetos Especiais</v>
      </c>
      <c r="B826" s="54">
        <f>IFERROR(__xludf.DUMMYFUNCTION("""COMPUTED_VALUE"""),45517.0)</f>
        <v>45517</v>
      </c>
      <c r="C826" s="48"/>
    </row>
    <row r="827">
      <c r="A827" s="48" t="str">
        <f>IFERROR(__xludf.DUMMYFUNCTION("""COMPUTED_VALUE"""),"26. Outro")</f>
        <v>26. Outro</v>
      </c>
      <c r="B827" s="54">
        <f>IFERROR(__xludf.DUMMYFUNCTION("""COMPUTED_VALUE"""),45518.0)</f>
        <v>45518</v>
      </c>
      <c r="C827" s="48"/>
    </row>
    <row r="828">
      <c r="A828" s="48" t="str">
        <f>IFERROR(__xludf.DUMMYFUNCTION("""COMPUTED_VALUE"""),"7. CBH – Reunião Extraordinária do Comitê")</f>
        <v>7. CBH – Reunião Extraordinária do Comitê</v>
      </c>
      <c r="B828" s="54">
        <f>IFERROR(__xludf.DUMMYFUNCTION("""COMPUTED_VALUE"""),45519.0)</f>
        <v>45519</v>
      </c>
      <c r="C828" s="48" t="str">
        <f>IFERROR(__xludf.DUMMYFUNCTION("""COMPUTED_VALUE"""),"33")</f>
        <v>33</v>
      </c>
    </row>
    <row r="829">
      <c r="A829" s="48" t="str">
        <f>IFERROR(__xludf.DUMMYFUNCTION("""COMPUTED_VALUE"""),"20. Ação de Comunicação / Informação / Capacitação Externa")</f>
        <v>20. Ação de Comunicação / Informação / Capacitação Externa</v>
      </c>
      <c r="B829" s="54">
        <f>IFERROR(__xludf.DUMMYFUNCTION("""COMPUTED_VALUE"""),45519.0)</f>
        <v>45519</v>
      </c>
      <c r="C829" s="48"/>
    </row>
    <row r="830">
      <c r="A830" s="48" t="str">
        <f>IFERROR(__xludf.DUMMYFUNCTION("""COMPUTED_VALUE"""),"20. Ação de Comunicação / Informação / Capacitação Externa")</f>
        <v>20. Ação de Comunicação / Informação / Capacitação Externa</v>
      </c>
      <c r="B830" s="54">
        <f>IFERROR(__xludf.DUMMYFUNCTION("""COMPUTED_VALUE"""),45519.0)</f>
        <v>45519</v>
      </c>
      <c r="C830" s="48"/>
    </row>
    <row r="831">
      <c r="A831" s="48" t="str">
        <f>IFERROR(__xludf.DUMMYFUNCTION("""COMPUTED_VALUE"""),"24. Projetos ou atividades Específicos")</f>
        <v>24. Projetos ou atividades Específicos</v>
      </c>
      <c r="B831" s="54">
        <f>IFERROR(__xludf.DUMMYFUNCTION("""COMPUTED_VALUE"""),45520.0)</f>
        <v>45520</v>
      </c>
      <c r="C831" s="48"/>
    </row>
    <row r="832">
      <c r="A832" s="48" t="str">
        <f>IFERROR(__xludf.DUMMYFUNCTION("""COMPUTED_VALUE"""),"20. Ação de Comunicação / Informação / Capacitação Externa")</f>
        <v>20. Ação de Comunicação / Informação / Capacitação Externa</v>
      </c>
      <c r="B832" s="54">
        <f>IFERROR(__xludf.DUMMYFUNCTION("""COMPUTED_VALUE"""),45520.0)</f>
        <v>45520</v>
      </c>
      <c r="C832" s="48"/>
    </row>
    <row r="833">
      <c r="A833" s="48" t="str">
        <f>IFERROR(__xludf.DUMMYFUNCTION("""COMPUTED_VALUE"""),"24. Projetos ou atividades Específicos")</f>
        <v>24. Projetos ou atividades Específicos</v>
      </c>
      <c r="B833" s="54">
        <f>IFERROR(__xludf.DUMMYFUNCTION("""COMPUTED_VALUE"""),45520.0)</f>
        <v>45520</v>
      </c>
      <c r="C833" s="48"/>
    </row>
    <row r="834">
      <c r="A834" s="48" t="str">
        <f>IFERROR(__xludf.DUMMYFUNCTION("""COMPUTED_VALUE"""),"20. Ação de Comunicação / Informação / Capacitação Externa")</f>
        <v>20. Ação de Comunicação / Informação / Capacitação Externa</v>
      </c>
      <c r="B834" s="54">
        <f>IFERROR(__xludf.DUMMYFUNCTION("""COMPUTED_VALUE"""),45520.0)</f>
        <v>45520</v>
      </c>
      <c r="C834" s="48"/>
    </row>
    <row r="835">
      <c r="A835" s="48" t="str">
        <f>IFERROR(__xludf.DUMMYFUNCTION("""COMPUTED_VALUE"""),"21. Projetos Especiais")</f>
        <v>21. Projetos Especiais</v>
      </c>
      <c r="B835" s="54">
        <f>IFERROR(__xludf.DUMMYFUNCTION("""COMPUTED_VALUE"""),45523.0)</f>
        <v>45523</v>
      </c>
      <c r="C835" s="48"/>
    </row>
    <row r="836">
      <c r="A836" s="48" t="str">
        <f>IFERROR(__xludf.DUMMYFUNCTION("""COMPUTED_VALUE"""),"20. Ação de Comunicação / Informação / Capacitação Externa")</f>
        <v>20. Ação de Comunicação / Informação / Capacitação Externa</v>
      </c>
      <c r="B836" s="54">
        <f>IFERROR(__xludf.DUMMYFUNCTION("""COMPUTED_VALUE"""),45523.0)</f>
        <v>45523</v>
      </c>
      <c r="C836" s="48"/>
    </row>
    <row r="837">
      <c r="A837" s="48" t="str">
        <f>IFERROR(__xludf.DUMMYFUNCTION("""COMPUTED_VALUE"""),"18. Mobilização Social")</f>
        <v>18. Mobilização Social</v>
      </c>
      <c r="B837" s="54">
        <f>IFERROR(__xludf.DUMMYFUNCTION("""COMPUTED_VALUE"""),45524.0)</f>
        <v>45524</v>
      </c>
      <c r="C837" s="48"/>
    </row>
    <row r="838">
      <c r="A838" s="48" t="str">
        <f>IFERROR(__xludf.DUMMYFUNCTION("""COMPUTED_VALUE"""),"25. Atividade Relacinada a Cobrança/Faturamento")</f>
        <v>25. Atividade Relacinada a Cobrança/Faturamento</v>
      </c>
      <c r="B838" s="54">
        <f>IFERROR(__xludf.DUMMYFUNCTION("""COMPUTED_VALUE"""),45524.0)</f>
        <v>45524</v>
      </c>
      <c r="C838" s="48"/>
    </row>
    <row r="839">
      <c r="A839" s="48" t="str">
        <f>IFERROR(__xludf.DUMMYFUNCTION("""COMPUTED_VALUE"""),"18. Mobilização Social")</f>
        <v>18. Mobilização Social</v>
      </c>
      <c r="B839" s="54">
        <f>IFERROR(__xludf.DUMMYFUNCTION("""COMPUTED_VALUE"""),45530.0)</f>
        <v>45530</v>
      </c>
      <c r="C839" s="48"/>
    </row>
    <row r="840">
      <c r="A840" s="48" t="str">
        <f>IFERROR(__xludf.DUMMYFUNCTION("""COMPUTED_VALUE"""),"20. Ação de Comunicação / Informação / Capacitação Externa")</f>
        <v>20. Ação de Comunicação / Informação / Capacitação Externa</v>
      </c>
      <c r="B840" s="54">
        <f>IFERROR(__xludf.DUMMYFUNCTION("""COMPUTED_VALUE"""),45530.0)</f>
        <v>45530</v>
      </c>
      <c r="C840" s="48"/>
    </row>
    <row r="841">
      <c r="A841" s="48" t="str">
        <f>IFERROR(__xludf.DUMMYFUNCTION("""COMPUTED_VALUE"""),"20. Ação de Comunicação / Informação / Capacitação Externa")</f>
        <v>20. Ação de Comunicação / Informação / Capacitação Externa</v>
      </c>
      <c r="B841" s="54">
        <f>IFERROR(__xludf.DUMMYFUNCTION("""COMPUTED_VALUE"""),45530.0)</f>
        <v>45530</v>
      </c>
      <c r="C841" s="48"/>
    </row>
    <row r="842">
      <c r="A842" s="48" t="str">
        <f>IFERROR(__xludf.DUMMYFUNCTION("""COMPUTED_VALUE"""),"26. Outro")</f>
        <v>26. Outro</v>
      </c>
      <c r="B842" s="54">
        <f>IFERROR(__xludf.DUMMYFUNCTION("""COMPUTED_VALUE"""),45530.0)</f>
        <v>45530</v>
      </c>
      <c r="C842" s="48"/>
    </row>
    <row r="843">
      <c r="A843" s="48" t="str">
        <f>IFERROR(__xludf.DUMMYFUNCTION("""COMPUTED_VALUE"""),"8. CBH – Reunião de Diretoria do CBH")</f>
        <v>8. CBH – Reunião de Diretoria do CBH</v>
      </c>
      <c r="B843" s="54">
        <f>IFERROR(__xludf.DUMMYFUNCTION("""COMPUTED_VALUE"""),45531.0)</f>
        <v>45531</v>
      </c>
      <c r="C843" s="48"/>
    </row>
    <row r="844">
      <c r="A844" s="48" t="str">
        <f>IFERROR(__xludf.DUMMYFUNCTION("""COMPUTED_VALUE"""),"20. Ação de Comunicação / Informação / Capacitação Externa")</f>
        <v>20. Ação de Comunicação / Informação / Capacitação Externa</v>
      </c>
      <c r="B844" s="54">
        <f>IFERROR(__xludf.DUMMYFUNCTION("""COMPUTED_VALUE"""),45531.0)</f>
        <v>45531</v>
      </c>
      <c r="C844" s="48"/>
    </row>
    <row r="845">
      <c r="A845" s="48" t="str">
        <f>IFERROR(__xludf.DUMMYFUNCTION("""COMPUTED_VALUE"""),"20. Ação de Comunicação / Informação / Capacitação Externa")</f>
        <v>20. Ação de Comunicação / Informação / Capacitação Externa</v>
      </c>
      <c r="B845" s="54">
        <f>IFERROR(__xludf.DUMMYFUNCTION("""COMPUTED_VALUE"""),45531.0)</f>
        <v>45531</v>
      </c>
      <c r="C845" s="48"/>
    </row>
    <row r="846">
      <c r="A846" s="48" t="str">
        <f>IFERROR(__xludf.DUMMYFUNCTION("""COMPUTED_VALUE"""),"18. Mobilização Social")</f>
        <v>18. Mobilização Social</v>
      </c>
      <c r="B846" s="54">
        <f>IFERROR(__xludf.DUMMYFUNCTION("""COMPUTED_VALUE"""),45532.0)</f>
        <v>45532</v>
      </c>
      <c r="C846" s="48"/>
    </row>
    <row r="847">
      <c r="A847" s="48" t="str">
        <f>IFERROR(__xludf.DUMMYFUNCTION("""COMPUTED_VALUE"""),"18. Mobilização Social")</f>
        <v>18. Mobilização Social</v>
      </c>
      <c r="B847" s="54">
        <f>IFERROR(__xludf.DUMMYFUNCTION("""COMPUTED_VALUE"""),45533.0)</f>
        <v>45533</v>
      </c>
      <c r="C847" s="48"/>
    </row>
    <row r="848">
      <c r="A848" s="48" t="str">
        <f>IFERROR(__xludf.DUMMYFUNCTION("""COMPUTED_VALUE"""),"18. Mobilização Social")</f>
        <v>18. Mobilização Social</v>
      </c>
      <c r="B848" s="54">
        <f>IFERROR(__xludf.DUMMYFUNCTION("""COMPUTED_VALUE"""),45534.0)</f>
        <v>45534</v>
      </c>
      <c r="C848" s="48"/>
    </row>
    <row r="849">
      <c r="A849" s="48" t="str">
        <f>IFERROR(__xludf.DUMMYFUNCTION("""COMPUTED_VALUE"""),"20. Ação de Comunicação / Informação / Capacitação Externa")</f>
        <v>20. Ação de Comunicação / Informação / Capacitação Externa</v>
      </c>
      <c r="B849" s="54">
        <f>IFERROR(__xludf.DUMMYFUNCTION("""COMPUTED_VALUE"""),45534.0)</f>
        <v>45534</v>
      </c>
      <c r="C849" s="48"/>
    </row>
    <row r="850">
      <c r="A850" s="48" t="str">
        <f>IFERROR(__xludf.DUMMYFUNCTION("""COMPUTED_VALUE"""),"26. Outro")</f>
        <v>26. Outro</v>
      </c>
      <c r="B850" s="54">
        <f>IFERROR(__xludf.DUMMYFUNCTION("""COMPUTED_VALUE"""),45534.0)</f>
        <v>45534</v>
      </c>
      <c r="C850" s="48"/>
    </row>
    <row r="851">
      <c r="A851" s="48" t="str">
        <f>IFERROR(__xludf.DUMMYFUNCTION("""COMPUTED_VALUE"""),"25. Atividade Relacinada a Cobrança/Faturamento")</f>
        <v>25. Atividade Relacinada a Cobrança/Faturamento</v>
      </c>
      <c r="B851" s="54">
        <f>IFERROR(__xludf.DUMMYFUNCTION("""COMPUTED_VALUE"""),45534.0)</f>
        <v>45534</v>
      </c>
      <c r="C851" s="48"/>
    </row>
    <row r="852">
      <c r="A852" s="48" t="str">
        <f>IFERROR(__xludf.DUMMYFUNCTION("""COMPUTED_VALUE"""),"20. Ação de Comunicação / Informação / Capacitação Externa")</f>
        <v>20. Ação de Comunicação / Informação / Capacitação Externa</v>
      </c>
      <c r="B852" s="54">
        <f>IFERROR(__xludf.DUMMYFUNCTION("""COMPUTED_VALUE"""),45534.0)</f>
        <v>45534</v>
      </c>
      <c r="C852" s="48"/>
    </row>
    <row r="853">
      <c r="A853" s="48" t="str">
        <f>IFERROR(__xludf.DUMMYFUNCTION("""COMPUTED_VALUE"""),"24. Projetos ou atividades Específicos")</f>
        <v>24. Projetos ou atividades Específicos</v>
      </c>
      <c r="B853" s="54">
        <f>IFERROR(__xludf.DUMMYFUNCTION("""COMPUTED_VALUE"""),45537.0)</f>
        <v>45537</v>
      </c>
      <c r="C853" s="48"/>
    </row>
    <row r="854">
      <c r="A854" s="48" t="str">
        <f>IFERROR(__xludf.DUMMYFUNCTION("""COMPUTED_VALUE"""),"24. Projetos ou atividades Específicos")</f>
        <v>24. Projetos ou atividades Específicos</v>
      </c>
      <c r="B854" s="54">
        <f>IFERROR(__xludf.DUMMYFUNCTION("""COMPUTED_VALUE"""),45537.0)</f>
        <v>45537</v>
      </c>
      <c r="C854" s="48"/>
    </row>
    <row r="855">
      <c r="A855" s="48" t="str">
        <f>IFERROR(__xludf.DUMMYFUNCTION("""COMPUTED_VALUE"""),"26. Outro")</f>
        <v>26. Outro</v>
      </c>
      <c r="B855" s="54">
        <f>IFERROR(__xludf.DUMMYFUNCTION("""COMPUTED_VALUE"""),45537.0)</f>
        <v>45537</v>
      </c>
      <c r="C855" s="48"/>
    </row>
    <row r="856">
      <c r="A856" s="48" t="str">
        <f>IFERROR(__xludf.DUMMYFUNCTION("""COMPUTED_VALUE"""),"26. Outro")</f>
        <v>26. Outro</v>
      </c>
      <c r="B856" s="54">
        <f>IFERROR(__xludf.DUMMYFUNCTION("""COMPUTED_VALUE"""),45537.0)</f>
        <v>45537</v>
      </c>
      <c r="C856" s="48"/>
    </row>
    <row r="857">
      <c r="A857" s="48" t="str">
        <f>IFERROR(__xludf.DUMMYFUNCTION("""COMPUTED_VALUE"""),"20. Ação de Comunicação / Informação / Capacitação Externa")</f>
        <v>20. Ação de Comunicação / Informação / Capacitação Externa</v>
      </c>
      <c r="B857" s="54">
        <f>IFERROR(__xludf.DUMMYFUNCTION("""COMPUTED_VALUE"""),45537.0)</f>
        <v>45537</v>
      </c>
      <c r="C857" s="48"/>
    </row>
    <row r="858">
      <c r="A858" s="48" t="str">
        <f>IFERROR(__xludf.DUMMYFUNCTION("""COMPUTED_VALUE"""),"16. CG – Capacitação da Comissão Gestora")</f>
        <v>16. CG – Capacitação da Comissão Gestora</v>
      </c>
      <c r="B858" s="54">
        <f>IFERROR(__xludf.DUMMYFUNCTION("""COMPUTED_VALUE"""),45538.0)</f>
        <v>45538</v>
      </c>
      <c r="C858" s="48" t="str">
        <f>IFERROR(__xludf.DUMMYFUNCTION("""COMPUTED_VALUE"""),"3")</f>
        <v>3</v>
      </c>
    </row>
    <row r="859">
      <c r="A859" s="48" t="str">
        <f>IFERROR(__xludf.DUMMYFUNCTION("""COMPUTED_VALUE"""),"20. Ação de Comunicação / Informação / Capacitação Externa")</f>
        <v>20. Ação de Comunicação / Informação / Capacitação Externa</v>
      </c>
      <c r="B859" s="54">
        <f>IFERROR(__xludf.DUMMYFUNCTION("""COMPUTED_VALUE"""),45538.0)</f>
        <v>45538</v>
      </c>
      <c r="C859" s="48"/>
    </row>
    <row r="860">
      <c r="A860" s="48" t="str">
        <f>IFERROR(__xludf.DUMMYFUNCTION("""COMPUTED_VALUE"""),"20. Ação de Comunicação / Informação / Capacitação Externa")</f>
        <v>20. Ação de Comunicação / Informação / Capacitação Externa</v>
      </c>
      <c r="B860" s="54">
        <f>IFERROR(__xludf.DUMMYFUNCTION("""COMPUTED_VALUE"""),45538.0)</f>
        <v>45538</v>
      </c>
      <c r="C860" s="48"/>
    </row>
    <row r="861">
      <c r="A861" s="48" t="str">
        <f>IFERROR(__xludf.DUMMYFUNCTION("""COMPUTED_VALUE"""),"20. Ação de Comunicação / Informação / Capacitação Externa")</f>
        <v>20. Ação de Comunicação / Informação / Capacitação Externa</v>
      </c>
      <c r="B861" s="54">
        <f>IFERROR(__xludf.DUMMYFUNCTION("""COMPUTED_VALUE"""),45538.0)</f>
        <v>45538</v>
      </c>
      <c r="C861" s="48"/>
    </row>
    <row r="862">
      <c r="A862" s="48" t="str">
        <f>IFERROR(__xludf.DUMMYFUNCTION("""COMPUTED_VALUE"""),"20. Ação de Comunicação / Informação / Capacitação Externa")</f>
        <v>20. Ação de Comunicação / Informação / Capacitação Externa</v>
      </c>
      <c r="B862" s="54">
        <f>IFERROR(__xludf.DUMMYFUNCTION("""COMPUTED_VALUE"""),45538.0)</f>
        <v>45538</v>
      </c>
      <c r="C862" s="48"/>
    </row>
    <row r="863">
      <c r="A863" s="48" t="str">
        <f>IFERROR(__xludf.DUMMYFUNCTION("""COMPUTED_VALUE"""),"18. Mobilização Social")</f>
        <v>18. Mobilização Social</v>
      </c>
      <c r="B863" s="54">
        <f>IFERROR(__xludf.DUMMYFUNCTION("""COMPUTED_VALUE"""),45539.0)</f>
        <v>45539</v>
      </c>
      <c r="C863" s="48" t="str">
        <f>IFERROR(__xludf.DUMMYFUNCTION("""COMPUTED_VALUE"""),"7")</f>
        <v>7</v>
      </c>
    </row>
    <row r="864">
      <c r="A864" s="48" t="str">
        <f>IFERROR(__xludf.DUMMYFUNCTION("""COMPUTED_VALUE"""),"20. Ação de Comunicação / Informação / Capacitação Externa")</f>
        <v>20. Ação de Comunicação / Informação / Capacitação Externa</v>
      </c>
      <c r="B864" s="54">
        <f>IFERROR(__xludf.DUMMYFUNCTION("""COMPUTED_VALUE"""),45539.0)</f>
        <v>45539</v>
      </c>
      <c r="C864" s="48"/>
    </row>
    <row r="865">
      <c r="A865" s="48" t="str">
        <f>IFERROR(__xludf.DUMMYFUNCTION("""COMPUTED_VALUE"""),"20. Ação de Comunicação / Informação / Capacitação Externa")</f>
        <v>20. Ação de Comunicação / Informação / Capacitação Externa</v>
      </c>
      <c r="B865" s="54">
        <f>IFERROR(__xludf.DUMMYFUNCTION("""COMPUTED_VALUE"""),45539.0)</f>
        <v>45539</v>
      </c>
      <c r="C865" s="48"/>
    </row>
    <row r="866">
      <c r="A866" s="48" t="str">
        <f>IFERROR(__xludf.DUMMYFUNCTION("""COMPUTED_VALUE"""),"25. Atividade Relacinada a Cobrança/Faturamento")</f>
        <v>25. Atividade Relacinada a Cobrança/Faturamento</v>
      </c>
      <c r="B866" s="54">
        <f>IFERROR(__xludf.DUMMYFUNCTION("""COMPUTED_VALUE"""),45539.0)</f>
        <v>45539</v>
      </c>
      <c r="C866" s="48"/>
    </row>
    <row r="867">
      <c r="A867" s="48" t="str">
        <f>IFERROR(__xludf.DUMMYFUNCTION("""COMPUTED_VALUE"""),"18. Mobilização Social")</f>
        <v>18. Mobilização Social</v>
      </c>
      <c r="B867" s="54">
        <f>IFERROR(__xludf.DUMMYFUNCTION("""COMPUTED_VALUE"""),45540.0)</f>
        <v>45540</v>
      </c>
      <c r="C867" s="48" t="str">
        <f>IFERROR(__xludf.DUMMYFUNCTION("""COMPUTED_VALUE"""),"4")</f>
        <v>4</v>
      </c>
    </row>
    <row r="868">
      <c r="A868" s="48" t="str">
        <f>IFERROR(__xludf.DUMMYFUNCTION("""COMPUTED_VALUE"""),"25. Atividade Relacinada a Cobrança/Faturamento")</f>
        <v>25. Atividade Relacinada a Cobrança/Faturamento</v>
      </c>
      <c r="B868" s="54">
        <f>IFERROR(__xludf.DUMMYFUNCTION("""COMPUTED_VALUE"""),45540.0)</f>
        <v>45540</v>
      </c>
      <c r="C868" s="48"/>
    </row>
    <row r="869">
      <c r="A869" s="48" t="str">
        <f>IFERROR(__xludf.DUMMYFUNCTION("""COMPUTED_VALUE"""),"20. Ação de Comunicação / Informação / Capacitação Externa")</f>
        <v>20. Ação de Comunicação / Informação / Capacitação Externa</v>
      </c>
      <c r="B869" s="54">
        <f>IFERROR(__xludf.DUMMYFUNCTION("""COMPUTED_VALUE"""),45540.0)</f>
        <v>45540</v>
      </c>
      <c r="C869" s="48"/>
    </row>
    <row r="870">
      <c r="A870" s="48" t="str">
        <f>IFERROR(__xludf.DUMMYFUNCTION("""COMPUTED_VALUE"""),"18. Mobilização Social")</f>
        <v>18. Mobilização Social</v>
      </c>
      <c r="B870" s="54">
        <f>IFERROR(__xludf.DUMMYFUNCTION("""COMPUTED_VALUE"""),45541.0)</f>
        <v>45541</v>
      </c>
      <c r="C870" s="48" t="str">
        <f>IFERROR(__xludf.DUMMYFUNCTION("""COMPUTED_VALUE"""),"3")</f>
        <v>3</v>
      </c>
    </row>
    <row r="871">
      <c r="A871" s="48" t="str">
        <f>IFERROR(__xludf.DUMMYFUNCTION("""COMPUTED_VALUE"""),"20. Ação de Comunicação / Informação / Capacitação Externa")</f>
        <v>20. Ação de Comunicação / Informação / Capacitação Externa</v>
      </c>
      <c r="B871" s="54">
        <f>IFERROR(__xludf.DUMMYFUNCTION("""COMPUTED_VALUE"""),45541.0)</f>
        <v>45541</v>
      </c>
      <c r="C871" s="48"/>
    </row>
    <row r="872">
      <c r="A872" s="48" t="str">
        <f>IFERROR(__xludf.DUMMYFUNCTION("""COMPUTED_VALUE"""),"12. CBH – Reunião do Fórum Cearense de Comitê")</f>
        <v>12. CBH – Reunião do Fórum Cearense de Comitê</v>
      </c>
      <c r="B872" s="54">
        <f>IFERROR(__xludf.DUMMYFUNCTION("""COMPUTED_VALUE"""),45544.0)</f>
        <v>45544</v>
      </c>
      <c r="C872" s="48" t="str">
        <f>IFERROR(__xludf.DUMMYFUNCTION("""COMPUTED_VALUE"""),"1")</f>
        <v>1</v>
      </c>
    </row>
    <row r="873">
      <c r="A873" s="48" t="str">
        <f>IFERROR(__xludf.DUMMYFUNCTION("""COMPUTED_VALUE"""),"26. Outro")</f>
        <v>26. Outro</v>
      </c>
      <c r="B873" s="54">
        <f>IFERROR(__xludf.DUMMYFUNCTION("""COMPUTED_VALUE"""),45544.0)</f>
        <v>45544</v>
      </c>
      <c r="C873" s="48"/>
    </row>
    <row r="874">
      <c r="A874" s="48" t="str">
        <f>IFERROR(__xludf.DUMMYFUNCTION("""COMPUTED_VALUE"""),"26. Outro")</f>
        <v>26. Outro</v>
      </c>
      <c r="B874" s="54">
        <f>IFERROR(__xludf.DUMMYFUNCTION("""COMPUTED_VALUE"""),45544.0)</f>
        <v>45544</v>
      </c>
      <c r="C874" s="48"/>
    </row>
    <row r="875">
      <c r="A875" s="48" t="str">
        <f>IFERROR(__xludf.DUMMYFUNCTION("""COMPUTED_VALUE"""),"20. Ação de Comunicação / Informação / Capacitação Externa")</f>
        <v>20. Ação de Comunicação / Informação / Capacitação Externa</v>
      </c>
      <c r="B875" s="54">
        <f>IFERROR(__xludf.DUMMYFUNCTION("""COMPUTED_VALUE"""),45544.0)</f>
        <v>45544</v>
      </c>
      <c r="C875" s="48"/>
    </row>
    <row r="876">
      <c r="A876" s="48" t="str">
        <f>IFERROR(__xludf.DUMMYFUNCTION("""COMPUTED_VALUE"""),"16. CG – Capacitação da Comissão Gestora")</f>
        <v>16. CG – Capacitação da Comissão Gestora</v>
      </c>
      <c r="B876" s="54">
        <f>IFERROR(__xludf.DUMMYFUNCTION("""COMPUTED_VALUE"""),45545.0)</f>
        <v>45545</v>
      </c>
      <c r="C876" s="48" t="str">
        <f>IFERROR(__xludf.DUMMYFUNCTION("""COMPUTED_VALUE"""),"22")</f>
        <v>22</v>
      </c>
    </row>
    <row r="877">
      <c r="A877" s="48" t="str">
        <f>IFERROR(__xludf.DUMMYFUNCTION("""COMPUTED_VALUE"""),"20. Ação de Comunicação / Informação / Capacitação Externa")</f>
        <v>20. Ação de Comunicação / Informação / Capacitação Externa</v>
      </c>
      <c r="B877" s="54">
        <f>IFERROR(__xludf.DUMMYFUNCTION("""COMPUTED_VALUE"""),45545.0)</f>
        <v>45545</v>
      </c>
      <c r="C877" s="48"/>
    </row>
    <row r="878">
      <c r="A878" s="48" t="str">
        <f>IFERROR(__xludf.DUMMYFUNCTION("""COMPUTED_VALUE"""),"20. Ação de Comunicação / Informação / Capacitação Externa")</f>
        <v>20. Ação de Comunicação / Informação / Capacitação Externa</v>
      </c>
      <c r="B878" s="54">
        <f>IFERROR(__xludf.DUMMYFUNCTION("""COMPUTED_VALUE"""),45545.0)</f>
        <v>45545</v>
      </c>
      <c r="C878" s="48"/>
    </row>
    <row r="879">
      <c r="A879" s="48" t="str">
        <f>IFERROR(__xludf.DUMMYFUNCTION("""COMPUTED_VALUE"""),"20. Ação de Comunicação / Informação / Capacitação Externa")</f>
        <v>20. Ação de Comunicação / Informação / Capacitação Externa</v>
      </c>
      <c r="B879" s="54">
        <f>IFERROR(__xludf.DUMMYFUNCTION("""COMPUTED_VALUE"""),45545.0)</f>
        <v>45545</v>
      </c>
      <c r="C879" s="48"/>
    </row>
    <row r="880">
      <c r="A880" s="48" t="str">
        <f>IFERROR(__xludf.DUMMYFUNCTION("""COMPUTED_VALUE"""),"20. Ação de Comunicação / Informação / Capacitação Externa")</f>
        <v>20. Ação de Comunicação / Informação / Capacitação Externa</v>
      </c>
      <c r="B880" s="54">
        <f>IFERROR(__xludf.DUMMYFUNCTION("""COMPUTED_VALUE"""),45545.0)</f>
        <v>45545</v>
      </c>
      <c r="C880" s="48"/>
    </row>
    <row r="881">
      <c r="A881" s="48" t="str">
        <f>IFERROR(__xludf.DUMMYFUNCTION("""COMPUTED_VALUE"""),"20. Ação de Comunicação / Informação / Capacitação Externa")</f>
        <v>20. Ação de Comunicação / Informação / Capacitação Externa</v>
      </c>
      <c r="B881" s="54">
        <f>IFERROR(__xludf.DUMMYFUNCTION("""COMPUTED_VALUE"""),45546.0)</f>
        <v>45546</v>
      </c>
      <c r="C881" s="48"/>
    </row>
    <row r="882">
      <c r="A882" s="48" t="str">
        <f>IFERROR(__xludf.DUMMYFUNCTION("""COMPUTED_VALUE"""),"26. Outro")</f>
        <v>26. Outro</v>
      </c>
      <c r="B882" s="54">
        <f>IFERROR(__xludf.DUMMYFUNCTION("""COMPUTED_VALUE"""),45546.0)</f>
        <v>45546</v>
      </c>
      <c r="C882" s="48"/>
    </row>
    <row r="883">
      <c r="A883" s="48" t="str">
        <f>IFERROR(__xludf.DUMMYFUNCTION("""COMPUTED_VALUE"""),"26. Outro")</f>
        <v>26. Outro</v>
      </c>
      <c r="B883" s="54">
        <f>IFERROR(__xludf.DUMMYFUNCTION("""COMPUTED_VALUE"""),45547.0)</f>
        <v>45547</v>
      </c>
      <c r="C883" s="48"/>
    </row>
    <row r="884">
      <c r="A884" s="48" t="str">
        <f>IFERROR(__xludf.DUMMYFUNCTION("""COMPUTED_VALUE"""),"6. CBH – Reunião Ordinária do Comitê")</f>
        <v>6. CBH – Reunião Ordinária do Comitê</v>
      </c>
      <c r="B884" s="54">
        <f>IFERROR(__xludf.DUMMYFUNCTION("""COMPUTED_VALUE"""),45547.0)</f>
        <v>45547</v>
      </c>
      <c r="C884" s="48" t="str">
        <f>IFERROR(__xludf.DUMMYFUNCTION("""COMPUTED_VALUE"""),"33")</f>
        <v>33</v>
      </c>
    </row>
    <row r="885">
      <c r="A885" s="48" t="str">
        <f>IFERROR(__xludf.DUMMYFUNCTION("""COMPUTED_VALUE"""),"20. Ação de Comunicação / Informação / Capacitação Externa")</f>
        <v>20. Ação de Comunicação / Informação / Capacitação Externa</v>
      </c>
      <c r="B885" s="54">
        <f>IFERROR(__xludf.DUMMYFUNCTION("""COMPUTED_VALUE"""),45547.0)</f>
        <v>45547</v>
      </c>
      <c r="C885" s="48"/>
    </row>
    <row r="886">
      <c r="A886" s="48" t="str">
        <f>IFERROR(__xludf.DUMMYFUNCTION("""COMPUTED_VALUE"""),"20. Ação de Comunicação / Informação / Capacitação Externa")</f>
        <v>20. Ação de Comunicação / Informação / Capacitação Externa</v>
      </c>
      <c r="B886" s="54">
        <f>IFERROR(__xludf.DUMMYFUNCTION("""COMPUTED_VALUE"""),45547.0)</f>
        <v>45547</v>
      </c>
      <c r="C886" s="48"/>
    </row>
    <row r="887">
      <c r="A887" s="48" t="str">
        <f>IFERROR(__xludf.DUMMYFUNCTION("""COMPUTED_VALUE"""),"20. Ação de Comunicação / Informação / Capacitação Externa")</f>
        <v>20. Ação de Comunicação / Informação / Capacitação Externa</v>
      </c>
      <c r="B887" s="54">
        <f>IFERROR(__xludf.DUMMYFUNCTION("""COMPUTED_VALUE"""),45548.0)</f>
        <v>45548</v>
      </c>
      <c r="C887" s="48"/>
    </row>
    <row r="888">
      <c r="A888" s="48" t="str">
        <f>IFERROR(__xludf.DUMMYFUNCTION("""COMPUTED_VALUE"""),"20. Ação de Comunicação / Informação / Capacitação Externa")</f>
        <v>20. Ação de Comunicação / Informação / Capacitação Externa</v>
      </c>
      <c r="B888" s="54">
        <f>IFERROR(__xludf.DUMMYFUNCTION("""COMPUTED_VALUE"""),45548.0)</f>
        <v>45548</v>
      </c>
      <c r="C888" s="48"/>
    </row>
    <row r="889">
      <c r="A889" s="48" t="str">
        <f>IFERROR(__xludf.DUMMYFUNCTION("""COMPUTED_VALUE"""),"20. Ação de Comunicação / Informação / Capacitação Externa")</f>
        <v>20. Ação de Comunicação / Informação / Capacitação Externa</v>
      </c>
      <c r="B889" s="54">
        <f>IFERROR(__xludf.DUMMYFUNCTION("""COMPUTED_VALUE"""),45548.0)</f>
        <v>45548</v>
      </c>
      <c r="C889" s="48"/>
    </row>
    <row r="890">
      <c r="A890" s="48" t="str">
        <f>IFERROR(__xludf.DUMMYFUNCTION("""COMPUTED_VALUE"""),"24. Projetos ou atividades Específicos")</f>
        <v>24. Projetos ou atividades Específicos</v>
      </c>
      <c r="B890" s="54">
        <f>IFERROR(__xludf.DUMMYFUNCTION("""COMPUTED_VALUE"""),45551.0)</f>
        <v>45551</v>
      </c>
      <c r="C890" s="48"/>
    </row>
    <row r="891">
      <c r="A891" s="48" t="str">
        <f>IFERROR(__xludf.DUMMYFUNCTION("""COMPUTED_VALUE"""),"20. Ação de Comunicação / Informação / Capacitação Externa")</f>
        <v>20. Ação de Comunicação / Informação / Capacitação Externa</v>
      </c>
      <c r="B891" s="54">
        <f>IFERROR(__xludf.DUMMYFUNCTION("""COMPUTED_VALUE"""),45551.0)</f>
        <v>45551</v>
      </c>
      <c r="C891" s="48"/>
    </row>
    <row r="892">
      <c r="A892" s="48" t="str">
        <f>IFERROR(__xludf.DUMMYFUNCTION("""COMPUTED_VALUE"""),"24. Projetos ou atividades Específicos")</f>
        <v>24. Projetos ou atividades Específicos</v>
      </c>
      <c r="B892" s="54">
        <f>IFERROR(__xludf.DUMMYFUNCTION("""COMPUTED_VALUE"""),45551.0)</f>
        <v>45551</v>
      </c>
      <c r="C892" s="48"/>
    </row>
    <row r="893">
      <c r="A893" s="48" t="str">
        <f>IFERROR(__xludf.DUMMYFUNCTION("""COMPUTED_VALUE"""),"20. Ação de Comunicação / Informação / Capacitação Externa")</f>
        <v>20. Ação de Comunicação / Informação / Capacitação Externa</v>
      </c>
      <c r="B893" s="54">
        <f>IFERROR(__xludf.DUMMYFUNCTION("""COMPUTED_VALUE"""),45551.0)</f>
        <v>45551</v>
      </c>
      <c r="C893" s="48"/>
    </row>
    <row r="894">
      <c r="A894" s="48" t="str">
        <f>IFERROR(__xludf.DUMMYFUNCTION("""COMPUTED_VALUE"""),"20. Ação de Comunicação / Informação / Capacitação Externa")</f>
        <v>20. Ação de Comunicação / Informação / Capacitação Externa</v>
      </c>
      <c r="B894" s="54">
        <f>IFERROR(__xludf.DUMMYFUNCTION("""COMPUTED_VALUE"""),45552.0)</f>
        <v>45552</v>
      </c>
      <c r="C894" s="48"/>
    </row>
    <row r="895">
      <c r="A895" s="48" t="str">
        <f>IFERROR(__xludf.DUMMYFUNCTION("""COMPUTED_VALUE"""),"21. Projetos Especiais")</f>
        <v>21. Projetos Especiais</v>
      </c>
      <c r="B895" s="54">
        <f>IFERROR(__xludf.DUMMYFUNCTION("""COMPUTED_VALUE"""),45560.0)</f>
        <v>45560</v>
      </c>
      <c r="C895" s="48"/>
    </row>
    <row r="896">
      <c r="A896" s="48" t="str">
        <f>IFERROR(__xludf.DUMMYFUNCTION("""COMPUTED_VALUE"""),"20. Ação de Comunicação / Informação / Capacitação Externa")</f>
        <v>20. Ação de Comunicação / Informação / Capacitação Externa</v>
      </c>
      <c r="B896" s="54">
        <f>IFERROR(__xludf.DUMMYFUNCTION("""COMPUTED_VALUE"""),45561.0)</f>
        <v>45561</v>
      </c>
      <c r="C896" s="48"/>
    </row>
    <row r="897">
      <c r="A897" s="48" t="str">
        <f>IFERROR(__xludf.DUMMYFUNCTION("""COMPUTED_VALUE"""),"20. Ação de Comunicação / Informação / Capacitação Externa")</f>
        <v>20. Ação de Comunicação / Informação / Capacitação Externa</v>
      </c>
      <c r="B897" s="54">
        <f>IFERROR(__xludf.DUMMYFUNCTION("""COMPUTED_VALUE"""),45562.0)</f>
        <v>45562</v>
      </c>
      <c r="C897" s="48"/>
    </row>
    <row r="898">
      <c r="A898" s="48" t="str">
        <f>IFERROR(__xludf.DUMMYFUNCTION("""COMPUTED_VALUE"""),"26. Outro")</f>
        <v>26. Outro</v>
      </c>
      <c r="B898" s="54">
        <f>IFERROR(__xludf.DUMMYFUNCTION("""COMPUTED_VALUE"""),45565.0)</f>
        <v>45565</v>
      </c>
      <c r="C898" s="48"/>
    </row>
    <row r="899">
      <c r="A899" s="48" t="str">
        <f>IFERROR(__xludf.DUMMYFUNCTION("""COMPUTED_VALUE"""),"20. Ação de Comunicação / Informação / Capacitação Externa")</f>
        <v>20. Ação de Comunicação / Informação / Capacitação Externa</v>
      </c>
      <c r="B899" s="54">
        <f>IFERROR(__xludf.DUMMYFUNCTION("""COMPUTED_VALUE"""),45565.0)</f>
        <v>45565</v>
      </c>
      <c r="C899" s="48"/>
    </row>
    <row r="900">
      <c r="A900" s="48" t="str">
        <f>IFERROR(__xludf.DUMMYFUNCTION("""COMPUTED_VALUE"""),"20. Ação de Comunicação / Informação / Capacitação Externa")</f>
        <v>20. Ação de Comunicação / Informação / Capacitação Externa</v>
      </c>
      <c r="B900" s="54">
        <f>IFERROR(__xludf.DUMMYFUNCTION("""COMPUTED_VALUE"""),45565.0)</f>
        <v>45565</v>
      </c>
      <c r="C900" s="48"/>
    </row>
    <row r="901">
      <c r="A901" s="48" t="str">
        <f>IFERROR(__xludf.DUMMYFUNCTION("""COMPUTED_VALUE"""),"20. Ação de Comunicação / Informação / Capacitação Externa")</f>
        <v>20. Ação de Comunicação / Informação / Capacitação Externa</v>
      </c>
      <c r="B901" s="54">
        <f>IFERROR(__xludf.DUMMYFUNCTION("""COMPUTED_VALUE"""),45566.0)</f>
        <v>45566</v>
      </c>
      <c r="C901" s="48"/>
    </row>
    <row r="902">
      <c r="A902" s="48" t="str">
        <f>IFERROR(__xludf.DUMMYFUNCTION("""COMPUTED_VALUE"""),"20. Ação de Comunicação / Informação / Capacitação Externa")</f>
        <v>20. Ação de Comunicação / Informação / Capacitação Externa</v>
      </c>
      <c r="B902" s="54">
        <f>IFERROR(__xludf.DUMMYFUNCTION("""COMPUTED_VALUE"""),45566.0)</f>
        <v>45566</v>
      </c>
      <c r="C902" s="48"/>
    </row>
    <row r="903">
      <c r="A903" s="48" t="str">
        <f>IFERROR(__xludf.DUMMYFUNCTION("""COMPUTED_VALUE"""),"8. CBH – Reunião de Diretoria do CBH")</f>
        <v>8. CBH – Reunião de Diretoria do CBH</v>
      </c>
      <c r="B903" s="54">
        <f>IFERROR(__xludf.DUMMYFUNCTION("""COMPUTED_VALUE"""),45566.0)</f>
        <v>45566</v>
      </c>
      <c r="C903" s="48"/>
    </row>
    <row r="904">
      <c r="A904" s="48" t="str">
        <f>IFERROR(__xludf.DUMMYFUNCTION("""COMPUTED_VALUE"""),"20. Ação de Comunicação / Informação / Capacitação Externa")</f>
        <v>20. Ação de Comunicação / Informação / Capacitação Externa</v>
      </c>
      <c r="B904" s="54">
        <f>IFERROR(__xludf.DUMMYFUNCTION("""COMPUTED_VALUE"""),45566.0)</f>
        <v>45566</v>
      </c>
      <c r="C904" s="48"/>
    </row>
    <row r="905">
      <c r="A905" s="48" t="str">
        <f>IFERROR(__xludf.DUMMYFUNCTION("""COMPUTED_VALUE"""),"20. Ação de Comunicação / Informação / Capacitação Externa")</f>
        <v>20. Ação de Comunicação / Informação / Capacitação Externa</v>
      </c>
      <c r="B905" s="54">
        <f>IFERROR(__xludf.DUMMYFUNCTION("""COMPUTED_VALUE"""),45566.0)</f>
        <v>45566</v>
      </c>
      <c r="C905" s="48"/>
    </row>
    <row r="906">
      <c r="A906" s="48" t="str">
        <f>IFERROR(__xludf.DUMMYFUNCTION("""COMPUTED_VALUE"""),"20. Ação de Comunicação / Informação / Capacitação Externa")</f>
        <v>20. Ação de Comunicação / Informação / Capacitação Externa</v>
      </c>
      <c r="B906" s="54">
        <f>IFERROR(__xludf.DUMMYFUNCTION("""COMPUTED_VALUE"""),45567.0)</f>
        <v>45567</v>
      </c>
      <c r="C906" s="48"/>
    </row>
    <row r="907">
      <c r="A907" s="48" t="str">
        <f>IFERROR(__xludf.DUMMYFUNCTION("""COMPUTED_VALUE"""),"20. Ação de Comunicação / Informação / Capacitação Externa")</f>
        <v>20. Ação de Comunicação / Informação / Capacitação Externa</v>
      </c>
      <c r="B907" s="54">
        <f>IFERROR(__xludf.DUMMYFUNCTION("""COMPUTED_VALUE"""),45568.0)</f>
        <v>45568</v>
      </c>
      <c r="C907" s="48" t="str">
        <f>IFERROR(__xludf.DUMMYFUNCTION("""COMPUTED_VALUE"""),"0")</f>
        <v>0</v>
      </c>
    </row>
    <row r="908">
      <c r="A908" s="48" t="str">
        <f>IFERROR(__xludf.DUMMYFUNCTION("""COMPUTED_VALUE"""),"18. Mobilização Social")</f>
        <v>18. Mobilização Social</v>
      </c>
      <c r="B908" s="54"/>
      <c r="C908" s="48" t="str">
        <f>IFERROR(__xludf.DUMMYFUNCTION("""COMPUTED_VALUE"""),"5")</f>
        <v>5</v>
      </c>
    </row>
    <row r="909">
      <c r="A909" s="48" t="str">
        <f>IFERROR(__xludf.DUMMYFUNCTION("""COMPUTED_VALUE"""),"18. Mobilização Social")</f>
        <v>18. Mobilização Social</v>
      </c>
      <c r="B909" s="54">
        <f>IFERROR(__xludf.DUMMYFUNCTION("""COMPUTED_VALUE"""),45568.0)</f>
        <v>45568</v>
      </c>
      <c r="C909" s="48"/>
    </row>
    <row r="910">
      <c r="A910" s="48" t="str">
        <f>IFERROR(__xludf.DUMMYFUNCTION("""COMPUTED_VALUE"""),"20. Ação de Comunicação / Informação / Capacitação Externa")</f>
        <v>20. Ação de Comunicação / Informação / Capacitação Externa</v>
      </c>
      <c r="B910" s="54">
        <f>IFERROR(__xludf.DUMMYFUNCTION("""COMPUTED_VALUE"""),45568.0)</f>
        <v>45568</v>
      </c>
      <c r="C910" s="48"/>
    </row>
    <row r="911">
      <c r="A911" s="48" t="str">
        <f>IFERROR(__xludf.DUMMYFUNCTION("""COMPUTED_VALUE"""),"20. Ação de Comunicação / Informação / Capacitação Externa")</f>
        <v>20. Ação de Comunicação / Informação / Capacitação Externa</v>
      </c>
      <c r="B911" s="54">
        <f>IFERROR(__xludf.DUMMYFUNCTION("""COMPUTED_VALUE"""),45568.0)</f>
        <v>45568</v>
      </c>
      <c r="C911" s="48"/>
    </row>
    <row r="912">
      <c r="A912" s="48" t="str">
        <f>IFERROR(__xludf.DUMMYFUNCTION("""COMPUTED_VALUE"""),"20. Ação de Comunicação / Informação / Capacitação Externa")</f>
        <v>20. Ação de Comunicação / Informação / Capacitação Externa</v>
      </c>
      <c r="B912" s="54">
        <f>IFERROR(__xludf.DUMMYFUNCTION("""COMPUTED_VALUE"""),45568.0)</f>
        <v>45568</v>
      </c>
      <c r="C912" s="48"/>
    </row>
    <row r="913">
      <c r="A913" s="48" t="str">
        <f>IFERROR(__xludf.DUMMYFUNCTION("""COMPUTED_VALUE"""),"26. Outro")</f>
        <v>26. Outro</v>
      </c>
      <c r="B913" s="54">
        <f>IFERROR(__xludf.DUMMYFUNCTION("""COMPUTED_VALUE"""),45568.0)</f>
        <v>45568</v>
      </c>
      <c r="C913" s="48"/>
    </row>
    <row r="914">
      <c r="A914" s="48" t="str">
        <f>IFERROR(__xludf.DUMMYFUNCTION("""COMPUTED_VALUE"""),"20. Ação de Comunicação / Informação / Capacitação Externa")</f>
        <v>20. Ação de Comunicação / Informação / Capacitação Externa</v>
      </c>
      <c r="B914" s="54">
        <f>IFERROR(__xludf.DUMMYFUNCTION("""COMPUTED_VALUE"""),45569.0)</f>
        <v>45569</v>
      </c>
      <c r="C914" s="48"/>
    </row>
    <row r="915">
      <c r="A915" s="48" t="str">
        <f>IFERROR(__xludf.DUMMYFUNCTION("""COMPUTED_VALUE"""),"18. Mobilização Social")</f>
        <v>18. Mobilização Social</v>
      </c>
      <c r="B915" s="54">
        <f>IFERROR(__xludf.DUMMYFUNCTION("""COMPUTED_VALUE"""),45572.0)</f>
        <v>45572</v>
      </c>
      <c r="C915" s="48" t="str">
        <f>IFERROR(__xludf.DUMMYFUNCTION("""COMPUTED_VALUE"""),"8")</f>
        <v>8</v>
      </c>
    </row>
    <row r="916">
      <c r="A916" s="48" t="str">
        <f>IFERROR(__xludf.DUMMYFUNCTION("""COMPUTED_VALUE"""),"20. Ação de Comunicação / Informação / Capacitação Externa")</f>
        <v>20. Ação de Comunicação / Informação / Capacitação Externa</v>
      </c>
      <c r="B916" s="54">
        <f>IFERROR(__xludf.DUMMYFUNCTION("""COMPUTED_VALUE"""),45572.0)</f>
        <v>45572</v>
      </c>
      <c r="C916" s="48" t="str">
        <f>IFERROR(__xludf.DUMMYFUNCTION("""COMPUTED_VALUE"""),"1")</f>
        <v>1</v>
      </c>
    </row>
    <row r="917">
      <c r="A917" s="48" t="str">
        <f>IFERROR(__xludf.DUMMYFUNCTION("""COMPUTED_VALUE"""),"18. Mobilização Social")</f>
        <v>18. Mobilização Social</v>
      </c>
      <c r="B917" s="54">
        <f>IFERROR(__xludf.DUMMYFUNCTION("""COMPUTED_VALUE"""),45573.0)</f>
        <v>45573</v>
      </c>
      <c r="C917" s="48" t="str">
        <f>IFERROR(__xludf.DUMMYFUNCTION("""COMPUTED_VALUE"""),"7")</f>
        <v>7</v>
      </c>
    </row>
    <row r="918">
      <c r="A918" s="48" t="str">
        <f>IFERROR(__xludf.DUMMYFUNCTION("""COMPUTED_VALUE"""),"25. Atividade Relacinada a Cobrança/Faturamento")</f>
        <v>25. Atividade Relacinada a Cobrança/Faturamento</v>
      </c>
      <c r="B918" s="54">
        <f>IFERROR(__xludf.DUMMYFUNCTION("""COMPUTED_VALUE"""),45573.0)</f>
        <v>45573</v>
      </c>
      <c r="C918" s="48"/>
    </row>
    <row r="919">
      <c r="A919" s="48" t="str">
        <f>IFERROR(__xludf.DUMMYFUNCTION("""COMPUTED_VALUE"""),"20. Ação de Comunicação / Informação / Capacitação Externa")</f>
        <v>20. Ação de Comunicação / Informação / Capacitação Externa</v>
      </c>
      <c r="B919" s="54">
        <f>IFERROR(__xludf.DUMMYFUNCTION("""COMPUTED_VALUE"""),45573.0)</f>
        <v>45573</v>
      </c>
      <c r="C919" s="48"/>
    </row>
    <row r="920">
      <c r="A920" s="48" t="str">
        <f>IFERROR(__xludf.DUMMYFUNCTION("""COMPUTED_VALUE"""),"20. Ação de Comunicação / Informação / Capacitação Externa")</f>
        <v>20. Ação de Comunicação / Informação / Capacitação Externa</v>
      </c>
      <c r="B920" s="54">
        <f>IFERROR(__xludf.DUMMYFUNCTION("""COMPUTED_VALUE"""),45573.0)</f>
        <v>45573</v>
      </c>
      <c r="C920" s="48"/>
    </row>
    <row r="921">
      <c r="A921" s="48" t="str">
        <f>IFERROR(__xludf.DUMMYFUNCTION("""COMPUTED_VALUE"""),"20. Ação de Comunicação / Informação / Capacitação Externa")</f>
        <v>20. Ação de Comunicação / Informação / Capacitação Externa</v>
      </c>
      <c r="B921" s="54">
        <f>IFERROR(__xludf.DUMMYFUNCTION("""COMPUTED_VALUE"""),45573.0)</f>
        <v>45573</v>
      </c>
      <c r="C921" s="48"/>
    </row>
    <row r="922">
      <c r="A922" s="48" t="str">
        <f>IFERROR(__xludf.DUMMYFUNCTION("""COMPUTED_VALUE"""),"26. Outro")</f>
        <v>26. Outro</v>
      </c>
      <c r="B922" s="54">
        <f>IFERROR(__xludf.DUMMYFUNCTION("""COMPUTED_VALUE"""),45573.0)</f>
        <v>45573</v>
      </c>
      <c r="C922" s="48"/>
    </row>
    <row r="923">
      <c r="A923" s="48" t="str">
        <f>IFERROR(__xludf.DUMMYFUNCTION("""COMPUTED_VALUE"""),"21. Projetos Especiais")</f>
        <v>21. Projetos Especiais</v>
      </c>
      <c r="B923" s="54">
        <f>IFERROR(__xludf.DUMMYFUNCTION("""COMPUTED_VALUE"""),45574.0)</f>
        <v>45574</v>
      </c>
      <c r="C923" s="48"/>
    </row>
    <row r="924">
      <c r="A924" s="48" t="str">
        <f>IFERROR(__xludf.DUMMYFUNCTION("""COMPUTED_VALUE"""),"18. Mobilização Social")</f>
        <v>18. Mobilização Social</v>
      </c>
      <c r="B924" s="54">
        <f>IFERROR(__xludf.DUMMYFUNCTION("""COMPUTED_VALUE"""),45574.0)</f>
        <v>45574</v>
      </c>
      <c r="C924" s="48" t="str">
        <f>IFERROR(__xludf.DUMMYFUNCTION("""COMPUTED_VALUE"""),"7")</f>
        <v>7</v>
      </c>
    </row>
    <row r="925">
      <c r="A925" s="48" t="str">
        <f>IFERROR(__xludf.DUMMYFUNCTION("""COMPUTED_VALUE"""),"25. Atividade Relacinada a Cobrança/Faturamento")</f>
        <v>25. Atividade Relacinada a Cobrança/Faturamento</v>
      </c>
      <c r="B925" s="54">
        <f>IFERROR(__xludf.DUMMYFUNCTION("""COMPUTED_VALUE"""),45574.0)</f>
        <v>45574</v>
      </c>
      <c r="C925" s="48"/>
    </row>
    <row r="926">
      <c r="A926" s="48" t="str">
        <f>IFERROR(__xludf.DUMMYFUNCTION("""COMPUTED_VALUE"""),"20. Ação de Comunicação / Informação / Capacitação Externa")</f>
        <v>20. Ação de Comunicação / Informação / Capacitação Externa</v>
      </c>
      <c r="B926" s="54">
        <f>IFERROR(__xludf.DUMMYFUNCTION("""COMPUTED_VALUE"""),45574.0)</f>
        <v>45574</v>
      </c>
      <c r="C926" s="48"/>
    </row>
    <row r="927">
      <c r="A927" s="48" t="str">
        <f>IFERROR(__xludf.DUMMYFUNCTION("""COMPUTED_VALUE"""),"21. Projetos Especiais")</f>
        <v>21. Projetos Especiais</v>
      </c>
      <c r="B927" s="54">
        <f>IFERROR(__xludf.DUMMYFUNCTION("""COMPUTED_VALUE"""),45575.0)</f>
        <v>45575</v>
      </c>
      <c r="C927" s="48"/>
    </row>
    <row r="928">
      <c r="A928" s="48" t="str">
        <f>IFERROR(__xludf.DUMMYFUNCTION("""COMPUTED_VALUE"""),"18. Mobilização Social")</f>
        <v>18. Mobilização Social</v>
      </c>
      <c r="B928" s="54">
        <f>IFERROR(__xludf.DUMMYFUNCTION("""COMPUTED_VALUE"""),45575.0)</f>
        <v>45575</v>
      </c>
      <c r="C928" s="48" t="str">
        <f>IFERROR(__xludf.DUMMYFUNCTION("""COMPUTED_VALUE"""),"6")</f>
        <v>6</v>
      </c>
    </row>
    <row r="929">
      <c r="A929" s="48" t="str">
        <f>IFERROR(__xludf.DUMMYFUNCTION("""COMPUTED_VALUE"""),"25. Atividade Relacinada a Cobrança/Faturamento")</f>
        <v>25. Atividade Relacinada a Cobrança/Faturamento</v>
      </c>
      <c r="B929" s="54">
        <f>IFERROR(__xludf.DUMMYFUNCTION("""COMPUTED_VALUE"""),45575.0)</f>
        <v>45575</v>
      </c>
      <c r="C929" s="48"/>
    </row>
    <row r="930">
      <c r="A930" s="48" t="str">
        <f>IFERROR(__xludf.DUMMYFUNCTION("""COMPUTED_VALUE"""),"20. Ação de Comunicação / Informação / Capacitação Externa")</f>
        <v>20. Ação de Comunicação / Informação / Capacitação Externa</v>
      </c>
      <c r="B930" s="54">
        <f>IFERROR(__xludf.DUMMYFUNCTION("""COMPUTED_VALUE"""),45575.0)</f>
        <v>45575</v>
      </c>
      <c r="C930" s="48"/>
    </row>
    <row r="931">
      <c r="A931" s="48" t="str">
        <f>IFERROR(__xludf.DUMMYFUNCTION("""COMPUTED_VALUE"""),"20. Ação de Comunicação / Informação / Capacitação Externa")</f>
        <v>20. Ação de Comunicação / Informação / Capacitação Externa</v>
      </c>
      <c r="B931" s="54">
        <f>IFERROR(__xludf.DUMMYFUNCTION("""COMPUTED_VALUE"""),45575.0)</f>
        <v>45575</v>
      </c>
      <c r="C931" s="48"/>
    </row>
    <row r="932">
      <c r="A932" s="48" t="str">
        <f>IFERROR(__xludf.DUMMYFUNCTION("""COMPUTED_VALUE"""),"20. Ação de Comunicação / Informação / Capacitação Externa")</f>
        <v>20. Ação de Comunicação / Informação / Capacitação Externa</v>
      </c>
      <c r="B932" s="54">
        <f>IFERROR(__xludf.DUMMYFUNCTION("""COMPUTED_VALUE"""),45575.0)</f>
        <v>45575</v>
      </c>
      <c r="C932" s="48"/>
    </row>
    <row r="933">
      <c r="A933" s="48" t="str">
        <f>IFERROR(__xludf.DUMMYFUNCTION("""COMPUTED_VALUE"""),"18. Mobilização Social")</f>
        <v>18. Mobilização Social</v>
      </c>
      <c r="B933" s="54">
        <f>IFERROR(__xludf.DUMMYFUNCTION("""COMPUTED_VALUE"""),45576.0)</f>
        <v>45576</v>
      </c>
      <c r="C933" s="48" t="str">
        <f>IFERROR(__xludf.DUMMYFUNCTION("""COMPUTED_VALUE"""),"40")</f>
        <v>40</v>
      </c>
    </row>
    <row r="934">
      <c r="A934" s="48" t="str">
        <f>IFERROR(__xludf.DUMMYFUNCTION("""COMPUTED_VALUE"""),"21. Projetos Especiais")</f>
        <v>21. Projetos Especiais</v>
      </c>
      <c r="B934" s="54">
        <f>IFERROR(__xludf.DUMMYFUNCTION("""COMPUTED_VALUE"""),45576.0)</f>
        <v>45576</v>
      </c>
      <c r="C934" s="48"/>
    </row>
    <row r="935">
      <c r="A935" s="48" t="str">
        <f>IFERROR(__xludf.DUMMYFUNCTION("""COMPUTED_VALUE"""),"21. Projetos Especiais")</f>
        <v>21. Projetos Especiais</v>
      </c>
      <c r="B935" s="54">
        <f>IFERROR(__xludf.DUMMYFUNCTION("""COMPUTED_VALUE"""),45579.0)</f>
        <v>45579</v>
      </c>
      <c r="C935" s="48"/>
    </row>
    <row r="936">
      <c r="A936" s="48" t="str">
        <f>IFERROR(__xludf.DUMMYFUNCTION("""COMPUTED_VALUE"""),"18. Mobilização Social")</f>
        <v>18. Mobilização Social</v>
      </c>
      <c r="B936" s="54">
        <f>IFERROR(__xludf.DUMMYFUNCTION("""COMPUTED_VALUE"""),45579.0)</f>
        <v>45579</v>
      </c>
      <c r="C936" s="48" t="str">
        <f>IFERROR(__xludf.DUMMYFUNCTION("""COMPUTED_VALUE"""),"40")</f>
        <v>40</v>
      </c>
    </row>
    <row r="937">
      <c r="A937" s="48" t="str">
        <f>IFERROR(__xludf.DUMMYFUNCTION("""COMPUTED_VALUE"""),"20. Ação de Comunicação / Informação / Capacitação Externa")</f>
        <v>20. Ação de Comunicação / Informação / Capacitação Externa</v>
      </c>
      <c r="B937" s="54">
        <f>IFERROR(__xludf.DUMMYFUNCTION("""COMPUTED_VALUE"""),45579.0)</f>
        <v>45579</v>
      </c>
      <c r="C937" s="48"/>
    </row>
    <row r="938">
      <c r="A938" s="48" t="str">
        <f>IFERROR(__xludf.DUMMYFUNCTION("""COMPUTED_VALUE"""),"20. Ação de Comunicação / Informação / Capacitação Externa")</f>
        <v>20. Ação de Comunicação / Informação / Capacitação Externa</v>
      </c>
      <c r="B938" s="54">
        <f>IFERROR(__xludf.DUMMYFUNCTION("""COMPUTED_VALUE"""),45579.0)</f>
        <v>45579</v>
      </c>
      <c r="C938" s="48"/>
    </row>
    <row r="939">
      <c r="A939" s="48" t="str">
        <f>IFERROR(__xludf.DUMMYFUNCTION("""COMPUTED_VALUE"""),"21. Projetos Especiais")</f>
        <v>21. Projetos Especiais</v>
      </c>
      <c r="B939" s="54">
        <f>IFERROR(__xludf.DUMMYFUNCTION("""COMPUTED_VALUE"""),45580.0)</f>
        <v>45580</v>
      </c>
      <c r="C939" s="48"/>
    </row>
    <row r="940">
      <c r="A940" s="48" t="str">
        <f>IFERROR(__xludf.DUMMYFUNCTION("""COMPUTED_VALUE"""),"18. Mobilização Social")</f>
        <v>18. Mobilização Social</v>
      </c>
      <c r="B940" s="54">
        <f>IFERROR(__xludf.DUMMYFUNCTION("""COMPUTED_VALUE"""),45580.0)</f>
        <v>45580</v>
      </c>
      <c r="C940" s="48" t="str">
        <f>IFERROR(__xludf.DUMMYFUNCTION("""COMPUTED_VALUE"""),"16")</f>
        <v>16</v>
      </c>
    </row>
    <row r="941">
      <c r="A941" s="48" t="str">
        <f>IFERROR(__xludf.DUMMYFUNCTION("""COMPUTED_VALUE"""),"20. Ação de Comunicação / Informação / Capacitação Externa")</f>
        <v>20. Ação de Comunicação / Informação / Capacitação Externa</v>
      </c>
      <c r="B941" s="54">
        <f>IFERROR(__xludf.DUMMYFUNCTION("""COMPUTED_VALUE"""),45580.0)</f>
        <v>45580</v>
      </c>
      <c r="C941" s="48"/>
    </row>
    <row r="942">
      <c r="A942" s="48" t="str">
        <f>IFERROR(__xludf.DUMMYFUNCTION("""COMPUTED_VALUE"""),"20. Ação de Comunicação / Informação / Capacitação Externa")</f>
        <v>20. Ação de Comunicação / Informação / Capacitação Externa</v>
      </c>
      <c r="B942" s="54">
        <f>IFERROR(__xludf.DUMMYFUNCTION("""COMPUTED_VALUE"""),45580.0)</f>
        <v>45580</v>
      </c>
      <c r="C942" s="48"/>
    </row>
    <row r="943">
      <c r="A943" s="48" t="str">
        <f>IFERROR(__xludf.DUMMYFUNCTION("""COMPUTED_VALUE"""),"20. Ação de Comunicação / Informação / Capacitação Externa")</f>
        <v>20. Ação de Comunicação / Informação / Capacitação Externa</v>
      </c>
      <c r="B943" s="54">
        <f>IFERROR(__xludf.DUMMYFUNCTION("""COMPUTED_VALUE"""),45580.0)</f>
        <v>45580</v>
      </c>
      <c r="C943" s="48"/>
    </row>
    <row r="944">
      <c r="A944" s="48" t="str">
        <f>IFERROR(__xludf.DUMMYFUNCTION("""COMPUTED_VALUE"""),"20. Ação de Comunicação / Informação / Capacitação Externa")</f>
        <v>20. Ação de Comunicação / Informação / Capacitação Externa</v>
      </c>
      <c r="B944" s="54">
        <f>IFERROR(__xludf.DUMMYFUNCTION("""COMPUTED_VALUE"""),45581.0)</f>
        <v>45581</v>
      </c>
      <c r="C944" s="48"/>
    </row>
    <row r="945">
      <c r="A945" s="48" t="str">
        <f>IFERROR(__xludf.DUMMYFUNCTION("""COMPUTED_VALUE"""),"20. Ação de Comunicação / Informação / Capacitação Externa")</f>
        <v>20. Ação de Comunicação / Informação / Capacitação Externa</v>
      </c>
      <c r="B945" s="54">
        <f>IFERROR(__xludf.DUMMYFUNCTION("""COMPUTED_VALUE"""),45581.0)</f>
        <v>45581</v>
      </c>
      <c r="C945" s="48"/>
    </row>
    <row r="946">
      <c r="A946" s="48" t="str">
        <f>IFERROR(__xludf.DUMMYFUNCTION("""COMPUTED_VALUE"""),"26. Outro")</f>
        <v>26. Outro</v>
      </c>
      <c r="B946" s="54">
        <f>IFERROR(__xludf.DUMMYFUNCTION("""COMPUTED_VALUE"""),45582.0)</f>
        <v>45582</v>
      </c>
      <c r="C946" s="48" t="str">
        <f>IFERROR(__xludf.DUMMYFUNCTION("""COMPUTED_VALUE"""),"7")</f>
        <v>7</v>
      </c>
    </row>
    <row r="947">
      <c r="A947" s="48" t="str">
        <f>IFERROR(__xludf.DUMMYFUNCTION("""COMPUTED_VALUE"""),"18. Mobilização Social")</f>
        <v>18. Mobilização Social</v>
      </c>
      <c r="B947" s="54">
        <f>IFERROR(__xludf.DUMMYFUNCTION("""COMPUTED_VALUE"""),45583.0)</f>
        <v>45583</v>
      </c>
      <c r="C947" s="48"/>
    </row>
    <row r="948">
      <c r="A948" s="48" t="str">
        <f>IFERROR(__xludf.DUMMYFUNCTION("""COMPUTED_VALUE"""),"20. Ação de Comunicação / Informação / Capacitação Externa")</f>
        <v>20. Ação de Comunicação / Informação / Capacitação Externa</v>
      </c>
      <c r="B948" s="54">
        <f>IFERROR(__xludf.DUMMYFUNCTION("""COMPUTED_VALUE"""),45583.0)</f>
        <v>45583</v>
      </c>
      <c r="C948" s="48"/>
    </row>
    <row r="949">
      <c r="A949" s="48" t="str">
        <f>IFERROR(__xludf.DUMMYFUNCTION("""COMPUTED_VALUE"""),"20. Ação de Comunicação / Informação / Capacitação Externa")</f>
        <v>20. Ação de Comunicação / Informação / Capacitação Externa</v>
      </c>
      <c r="B949" s="54">
        <f>IFERROR(__xludf.DUMMYFUNCTION("""COMPUTED_VALUE"""),45583.0)</f>
        <v>45583</v>
      </c>
      <c r="C949" s="48"/>
    </row>
    <row r="950">
      <c r="A950" s="48" t="str">
        <f>IFERROR(__xludf.DUMMYFUNCTION("""COMPUTED_VALUE"""),"20. Ação de Comunicação / Informação / Capacitação Externa")</f>
        <v>20. Ação de Comunicação / Informação / Capacitação Externa</v>
      </c>
      <c r="B950" s="54">
        <f>IFERROR(__xludf.DUMMYFUNCTION("""COMPUTED_VALUE"""),45583.0)</f>
        <v>45583</v>
      </c>
      <c r="C950" s="48"/>
    </row>
    <row r="951">
      <c r="A951" s="48" t="str">
        <f>IFERROR(__xludf.DUMMYFUNCTION("""COMPUTED_VALUE"""),"20. Ação de Comunicação / Informação / Capacitação Externa")</f>
        <v>20. Ação de Comunicação / Informação / Capacitação Externa</v>
      </c>
      <c r="B951" s="54">
        <f>IFERROR(__xludf.DUMMYFUNCTION("""COMPUTED_VALUE"""),45583.0)</f>
        <v>45583</v>
      </c>
      <c r="C951" s="48"/>
    </row>
    <row r="952">
      <c r="A952" s="48" t="str">
        <f>IFERROR(__xludf.DUMMYFUNCTION("""COMPUTED_VALUE"""),"20. Ação de Comunicação / Informação / Capacitação Externa")</f>
        <v>20. Ação de Comunicação / Informação / Capacitação Externa</v>
      </c>
      <c r="B952" s="54">
        <f>IFERROR(__xludf.DUMMYFUNCTION("""COMPUTED_VALUE"""),45583.0)</f>
        <v>45583</v>
      </c>
      <c r="C952" s="48"/>
    </row>
    <row r="953">
      <c r="A953" s="48" t="str">
        <f>IFERROR(__xludf.DUMMYFUNCTION("""COMPUTED_VALUE"""),"25. Atividade Relacinada a Cobrança/Faturamento")</f>
        <v>25. Atividade Relacinada a Cobrança/Faturamento</v>
      </c>
      <c r="B953" s="54">
        <f>IFERROR(__xludf.DUMMYFUNCTION("""COMPUTED_VALUE"""),45586.0)</f>
        <v>45586</v>
      </c>
      <c r="C953" s="48"/>
    </row>
    <row r="954">
      <c r="A954" s="48" t="str">
        <f>IFERROR(__xludf.DUMMYFUNCTION("""COMPUTED_VALUE"""),"26. Outro")</f>
        <v>26. Outro</v>
      </c>
      <c r="B954" s="54">
        <f>IFERROR(__xludf.DUMMYFUNCTION("""COMPUTED_VALUE"""),45586.0)</f>
        <v>45586</v>
      </c>
      <c r="C954" s="48"/>
    </row>
    <row r="955">
      <c r="A955" s="48" t="str">
        <f>IFERROR(__xludf.DUMMYFUNCTION("""COMPUTED_VALUE"""),"18. Mobilização Social")</f>
        <v>18. Mobilização Social</v>
      </c>
      <c r="B955" s="54">
        <f>IFERROR(__xludf.DUMMYFUNCTION("""COMPUTED_VALUE"""),45586.0)</f>
        <v>45586</v>
      </c>
      <c r="C955" s="48"/>
    </row>
    <row r="956">
      <c r="A956" s="48" t="str">
        <f>IFERROR(__xludf.DUMMYFUNCTION("""COMPUTED_VALUE"""),"20. Ação de Comunicação / Informação / Capacitação Externa")</f>
        <v>20. Ação de Comunicação / Informação / Capacitação Externa</v>
      </c>
      <c r="B956" s="54">
        <f>IFERROR(__xludf.DUMMYFUNCTION("""COMPUTED_VALUE"""),45586.0)</f>
        <v>45586</v>
      </c>
      <c r="C956" s="48"/>
    </row>
    <row r="957">
      <c r="A957" s="48" t="str">
        <f>IFERROR(__xludf.DUMMYFUNCTION("""COMPUTED_VALUE"""),"10. CBH – Capacitação do Comitê")</f>
        <v>10. CBH – Capacitação do Comitê</v>
      </c>
      <c r="B957" s="54">
        <f>IFERROR(__xludf.DUMMYFUNCTION("""COMPUTED_VALUE"""),45587.0)</f>
        <v>45587</v>
      </c>
      <c r="C957" s="48" t="str">
        <f>IFERROR(__xludf.DUMMYFUNCTION("""COMPUTED_VALUE"""),"4")</f>
        <v>4</v>
      </c>
    </row>
    <row r="958">
      <c r="A958" s="48" t="str">
        <f>IFERROR(__xludf.DUMMYFUNCTION("""COMPUTED_VALUE"""),"20. Ação de Comunicação / Informação / Capacitação Externa")</f>
        <v>20. Ação de Comunicação / Informação / Capacitação Externa</v>
      </c>
      <c r="B958" s="54">
        <f>IFERROR(__xludf.DUMMYFUNCTION("""COMPUTED_VALUE"""),45587.0)</f>
        <v>45587</v>
      </c>
      <c r="C958" s="48"/>
    </row>
    <row r="959">
      <c r="A959" s="48" t="str">
        <f>IFERROR(__xludf.DUMMYFUNCTION("""COMPUTED_VALUE"""),"20. Ação de Comunicação / Informação / Capacitação Externa")</f>
        <v>20. Ação de Comunicação / Informação / Capacitação Externa</v>
      </c>
      <c r="B959" s="54">
        <f>IFERROR(__xludf.DUMMYFUNCTION("""COMPUTED_VALUE"""),45587.0)</f>
        <v>45587</v>
      </c>
      <c r="C959" s="48"/>
    </row>
    <row r="960">
      <c r="A960" s="48" t="str">
        <f>IFERROR(__xludf.DUMMYFUNCTION("""COMPUTED_VALUE"""),"20. Ação de Comunicação / Informação / Capacitação Externa")</f>
        <v>20. Ação de Comunicação / Informação / Capacitação Externa</v>
      </c>
      <c r="B960" s="54">
        <f>IFERROR(__xludf.DUMMYFUNCTION("""COMPUTED_VALUE"""),45587.0)</f>
        <v>45587</v>
      </c>
      <c r="C960" s="48"/>
    </row>
    <row r="961">
      <c r="A961" s="48" t="str">
        <f>IFERROR(__xludf.DUMMYFUNCTION("""COMPUTED_VALUE"""),"20. Ação de Comunicação / Informação / Capacitação Externa")</f>
        <v>20. Ação de Comunicação / Informação / Capacitação Externa</v>
      </c>
      <c r="B961" s="54">
        <f>IFERROR(__xludf.DUMMYFUNCTION("""COMPUTED_VALUE"""),45587.0)</f>
        <v>45587</v>
      </c>
      <c r="C961" s="48"/>
    </row>
    <row r="962">
      <c r="A962" s="48" t="str">
        <f>IFERROR(__xludf.DUMMYFUNCTION("""COMPUTED_VALUE"""),"15. CG – Reunião de Comissão Gestora")</f>
        <v>15. CG – Reunião de Comissão Gestora</v>
      </c>
      <c r="B962" s="54">
        <f>IFERROR(__xludf.DUMMYFUNCTION("""COMPUTED_VALUE"""),45588.0)</f>
        <v>45588</v>
      </c>
      <c r="C962" s="48"/>
    </row>
    <row r="963">
      <c r="A963" s="48" t="str">
        <f>IFERROR(__xludf.DUMMYFUNCTION("""COMPUTED_VALUE"""),"20. Ação de Comunicação / Informação / Capacitação Externa")</f>
        <v>20. Ação de Comunicação / Informação / Capacitação Externa</v>
      </c>
      <c r="B963" s="54">
        <f>IFERROR(__xludf.DUMMYFUNCTION("""COMPUTED_VALUE"""),45588.0)</f>
        <v>45588</v>
      </c>
      <c r="C963" s="48"/>
    </row>
    <row r="964">
      <c r="A964" s="48" t="str">
        <f>IFERROR(__xludf.DUMMYFUNCTION("""COMPUTED_VALUE"""),"20. Ação de Comunicação / Informação / Capacitação Externa")</f>
        <v>20. Ação de Comunicação / Informação / Capacitação Externa</v>
      </c>
      <c r="B964" s="54">
        <f>IFERROR(__xludf.DUMMYFUNCTION("""COMPUTED_VALUE"""),45588.0)</f>
        <v>45588</v>
      </c>
      <c r="C964" s="48"/>
    </row>
    <row r="965">
      <c r="A965" s="48" t="str">
        <f>IFERROR(__xludf.DUMMYFUNCTION("""COMPUTED_VALUE"""),"20. Ação de Comunicação / Informação / Capacitação Externa")</f>
        <v>20. Ação de Comunicação / Informação / Capacitação Externa</v>
      </c>
      <c r="B965" s="54">
        <f>IFERROR(__xludf.DUMMYFUNCTION("""COMPUTED_VALUE"""),45588.0)</f>
        <v>45588</v>
      </c>
      <c r="C965" s="48"/>
    </row>
    <row r="966">
      <c r="A966" s="48" t="str">
        <f>IFERROR(__xludf.DUMMYFUNCTION("""COMPUTED_VALUE"""),"20. Ação de Comunicação / Informação / Capacitação Externa")</f>
        <v>20. Ação de Comunicação / Informação / Capacitação Externa</v>
      </c>
      <c r="B966" s="54">
        <f>IFERROR(__xludf.DUMMYFUNCTION("""COMPUTED_VALUE"""),45588.0)</f>
        <v>45588</v>
      </c>
      <c r="C966" s="48"/>
    </row>
    <row r="967">
      <c r="A967" s="48" t="str">
        <f>IFERROR(__xludf.DUMMYFUNCTION("""COMPUTED_VALUE"""),"20. Ação de Comunicação / Informação / Capacitação Externa")</f>
        <v>20. Ação de Comunicação / Informação / Capacitação Externa</v>
      </c>
      <c r="B967" s="54">
        <f>IFERROR(__xludf.DUMMYFUNCTION("""COMPUTED_VALUE"""),45588.0)</f>
        <v>45588</v>
      </c>
      <c r="C967" s="48"/>
    </row>
    <row r="968">
      <c r="A968" s="48" t="str">
        <f>IFERROR(__xludf.DUMMYFUNCTION("""COMPUTED_VALUE"""),"26. Outro")</f>
        <v>26. Outro</v>
      </c>
      <c r="B968" s="54">
        <f>IFERROR(__xludf.DUMMYFUNCTION("""COMPUTED_VALUE"""),45588.0)</f>
        <v>45588</v>
      </c>
      <c r="C968" s="48"/>
    </row>
    <row r="969">
      <c r="A969" s="48" t="str">
        <f>IFERROR(__xludf.DUMMYFUNCTION("""COMPUTED_VALUE"""),"20. Ação de Comunicação / Informação / Capacitação Externa")</f>
        <v>20. Ação de Comunicação / Informação / Capacitação Externa</v>
      </c>
      <c r="B969" s="54">
        <f>IFERROR(__xludf.DUMMYFUNCTION("""COMPUTED_VALUE"""),45588.0)</f>
        <v>45588</v>
      </c>
      <c r="C969" s="48"/>
    </row>
    <row r="970">
      <c r="A970" s="48" t="str">
        <f>IFERROR(__xludf.DUMMYFUNCTION("""COMPUTED_VALUE"""),"20. Ação de Comunicação / Informação / Capacitação Externa")</f>
        <v>20. Ação de Comunicação / Informação / Capacitação Externa</v>
      </c>
      <c r="B970" s="54">
        <f>IFERROR(__xludf.DUMMYFUNCTION("""COMPUTED_VALUE"""),45588.0)</f>
        <v>45588</v>
      </c>
      <c r="C970" s="48"/>
    </row>
    <row r="971">
      <c r="A971" s="48" t="str">
        <f>IFERROR(__xludf.DUMMYFUNCTION("""COMPUTED_VALUE"""),"26. Outro")</f>
        <v>26. Outro</v>
      </c>
      <c r="B971" s="54">
        <f>IFERROR(__xludf.DUMMYFUNCTION("""COMPUTED_VALUE"""),45589.0)</f>
        <v>45589</v>
      </c>
      <c r="C971" s="48"/>
    </row>
    <row r="972">
      <c r="A972" s="48" t="str">
        <f>IFERROR(__xludf.DUMMYFUNCTION("""COMPUTED_VALUE"""),"20. Ação de Comunicação / Informação / Capacitação Externa")</f>
        <v>20. Ação de Comunicação / Informação / Capacitação Externa</v>
      </c>
      <c r="B972" s="54">
        <f>IFERROR(__xludf.DUMMYFUNCTION("""COMPUTED_VALUE"""),45589.0)</f>
        <v>45589</v>
      </c>
      <c r="C972" s="48"/>
    </row>
    <row r="973">
      <c r="A973" s="48" t="str">
        <f>IFERROR(__xludf.DUMMYFUNCTION("""COMPUTED_VALUE"""),"26. Outro")</f>
        <v>26. Outro</v>
      </c>
      <c r="B973" s="54">
        <f>IFERROR(__xludf.DUMMYFUNCTION("""COMPUTED_VALUE"""),45589.0)</f>
        <v>45589</v>
      </c>
      <c r="C973" s="48"/>
    </row>
    <row r="974">
      <c r="A974" s="48" t="str">
        <f>IFERROR(__xludf.DUMMYFUNCTION("""COMPUTED_VALUE"""),"20. Ação de Comunicação / Informação / Capacitação Externa")</f>
        <v>20. Ação de Comunicação / Informação / Capacitação Externa</v>
      </c>
      <c r="B974" s="54">
        <f>IFERROR(__xludf.DUMMYFUNCTION("""COMPUTED_VALUE"""),45589.0)</f>
        <v>45589</v>
      </c>
      <c r="C974" s="48"/>
    </row>
    <row r="975">
      <c r="A975" s="48" t="str">
        <f>IFERROR(__xludf.DUMMYFUNCTION("""COMPUTED_VALUE"""),"24. Projetos ou atividades Específicos")</f>
        <v>24. Projetos ou atividades Específicos</v>
      </c>
      <c r="B975" s="54">
        <f>IFERROR(__xludf.DUMMYFUNCTION("""COMPUTED_VALUE"""),45590.0)</f>
        <v>45590</v>
      </c>
      <c r="C975" s="48"/>
    </row>
    <row r="976">
      <c r="A976" s="48" t="str">
        <f>IFERROR(__xludf.DUMMYFUNCTION("""COMPUTED_VALUE"""),"24. Projetos ou atividades Específicos")</f>
        <v>24. Projetos ou atividades Específicos</v>
      </c>
      <c r="B976" s="54">
        <f>IFERROR(__xludf.DUMMYFUNCTION("""COMPUTED_VALUE"""),45594.0)</f>
        <v>45594</v>
      </c>
      <c r="C976" s="48"/>
    </row>
    <row r="977">
      <c r="A977" s="48" t="str">
        <f>IFERROR(__xludf.DUMMYFUNCTION("""COMPUTED_VALUE"""),"26. Outro")</f>
        <v>26. Outro</v>
      </c>
      <c r="B977" s="54">
        <f>IFERROR(__xludf.DUMMYFUNCTION("""COMPUTED_VALUE"""),45594.0)</f>
        <v>45594</v>
      </c>
      <c r="C977" s="48"/>
    </row>
    <row r="978">
      <c r="A978" s="48" t="str">
        <f>IFERROR(__xludf.DUMMYFUNCTION("""COMPUTED_VALUE"""),"20. Ação de Comunicação / Informação / Capacitação Externa")</f>
        <v>20. Ação de Comunicação / Informação / Capacitação Externa</v>
      </c>
      <c r="B978" s="54">
        <f>IFERROR(__xludf.DUMMYFUNCTION("""COMPUTED_VALUE"""),45594.0)</f>
        <v>45594</v>
      </c>
      <c r="C978" s="48"/>
    </row>
    <row r="979">
      <c r="A979" s="48" t="str">
        <f>IFERROR(__xludf.DUMMYFUNCTION("""COMPUTED_VALUE"""),"20. Ação de Comunicação / Informação / Capacitação Externa")</f>
        <v>20. Ação de Comunicação / Informação / Capacitação Externa</v>
      </c>
      <c r="B979" s="54">
        <f>IFERROR(__xludf.DUMMYFUNCTION("""COMPUTED_VALUE"""),45594.0)</f>
        <v>45594</v>
      </c>
      <c r="C979" s="48"/>
    </row>
    <row r="980">
      <c r="A980" s="48" t="str">
        <f>IFERROR(__xludf.DUMMYFUNCTION("""COMPUTED_VALUE"""),"20. Ação de Comunicação / Informação / Capacitação Externa")</f>
        <v>20. Ação de Comunicação / Informação / Capacitação Externa</v>
      </c>
      <c r="B980" s="54">
        <f>IFERROR(__xludf.DUMMYFUNCTION("""COMPUTED_VALUE"""),45594.0)</f>
        <v>45594</v>
      </c>
      <c r="C980" s="48"/>
    </row>
    <row r="981">
      <c r="A981" s="48" t="str">
        <f>IFERROR(__xludf.DUMMYFUNCTION("""COMPUTED_VALUE"""),"12. CBH – Reunião do Fórum Cearense de Comitê")</f>
        <v>12. CBH – Reunião do Fórum Cearense de Comitê</v>
      </c>
      <c r="B981" s="54">
        <f>IFERROR(__xludf.DUMMYFUNCTION("""COMPUTED_VALUE"""),45595.0)</f>
        <v>45595</v>
      </c>
      <c r="C981" s="48"/>
    </row>
    <row r="982">
      <c r="A982" s="48" t="str">
        <f>IFERROR(__xludf.DUMMYFUNCTION("""COMPUTED_VALUE"""),"20. Ação de Comunicação / Informação / Capacitação Externa")</f>
        <v>20. Ação de Comunicação / Informação / Capacitação Externa</v>
      </c>
      <c r="B982" s="54">
        <f>IFERROR(__xludf.DUMMYFUNCTION("""COMPUTED_VALUE"""),38290.0)</f>
        <v>38290</v>
      </c>
      <c r="C982" s="48"/>
    </row>
    <row r="983">
      <c r="A983" s="48" t="str">
        <f>IFERROR(__xludf.DUMMYFUNCTION("""COMPUTED_VALUE"""),"25. Atividade Relacinada a Cobrança/Faturamento")</f>
        <v>25. Atividade Relacinada a Cobrança/Faturamento</v>
      </c>
      <c r="B983" s="54">
        <f>IFERROR(__xludf.DUMMYFUNCTION("""COMPUTED_VALUE"""),38290.0)</f>
        <v>38290</v>
      </c>
      <c r="C983" s="48"/>
    </row>
    <row r="984">
      <c r="A984" s="48" t="str">
        <f>IFERROR(__xludf.DUMMYFUNCTION("""COMPUTED_VALUE"""),"20. Ação de Comunicação / Informação / Capacitação Externa")</f>
        <v>20. Ação de Comunicação / Informação / Capacitação Externa</v>
      </c>
      <c r="B984" s="54">
        <f>IFERROR(__xludf.DUMMYFUNCTION("""COMPUTED_VALUE"""),38290.0)</f>
        <v>38290</v>
      </c>
      <c r="C984" s="48"/>
    </row>
    <row r="985">
      <c r="A985" s="48" t="str">
        <f>IFERROR(__xludf.DUMMYFUNCTION("""COMPUTED_VALUE"""),"20. Ação de Comunicação / Informação / Capacitação Externa")</f>
        <v>20. Ação de Comunicação / Informação / Capacitação Externa</v>
      </c>
      <c r="B985" s="54">
        <f>IFERROR(__xludf.DUMMYFUNCTION("""COMPUTED_VALUE"""),38290.0)</f>
        <v>38290</v>
      </c>
      <c r="C985" s="48"/>
    </row>
    <row r="986">
      <c r="A986" s="48" t="str">
        <f>IFERROR(__xludf.DUMMYFUNCTION("""COMPUTED_VALUE"""),"20. Ação de Comunicação / Informação / Capacitação Externa")</f>
        <v>20. Ação de Comunicação / Informação / Capacitação Externa</v>
      </c>
      <c r="B986" s="54">
        <f>IFERROR(__xludf.DUMMYFUNCTION("""COMPUTED_VALUE"""),45596.0)</f>
        <v>45596</v>
      </c>
      <c r="C986" s="48"/>
    </row>
    <row r="987">
      <c r="A987" s="48" t="str">
        <f>IFERROR(__xludf.DUMMYFUNCTION("""COMPUTED_VALUE"""),"20. Ação de Comunicação / Informação / Capacitação Externa")</f>
        <v>20. Ação de Comunicação / Informação / Capacitação Externa</v>
      </c>
      <c r="B987" s="54">
        <f>IFERROR(__xludf.DUMMYFUNCTION("""COMPUTED_VALUE"""),45596.0)</f>
        <v>45596</v>
      </c>
      <c r="C987" s="48"/>
    </row>
    <row r="988">
      <c r="A988" s="48" t="str">
        <f>IFERROR(__xludf.DUMMYFUNCTION("""COMPUTED_VALUE"""),"18. Mobilização Social")</f>
        <v>18. Mobilização Social</v>
      </c>
      <c r="B988" s="54">
        <f>IFERROR(__xludf.DUMMYFUNCTION("""COMPUTED_VALUE"""),45597.0)</f>
        <v>45597</v>
      </c>
      <c r="C988" s="48" t="str">
        <f>IFERROR(__xludf.DUMMYFUNCTION("""COMPUTED_VALUE"""),"2")</f>
        <v>2</v>
      </c>
    </row>
    <row r="989">
      <c r="A989" s="48" t="str">
        <f>IFERROR(__xludf.DUMMYFUNCTION("""COMPUTED_VALUE"""),"26. Outro")</f>
        <v>26. Outro</v>
      </c>
      <c r="B989" s="54">
        <f>IFERROR(__xludf.DUMMYFUNCTION("""COMPUTED_VALUE"""),45597.0)</f>
        <v>45597</v>
      </c>
      <c r="C989" s="48"/>
    </row>
    <row r="990">
      <c r="A990" s="48" t="str">
        <f>IFERROR(__xludf.DUMMYFUNCTION("""COMPUTED_VALUE"""),"26. Outro")</f>
        <v>26. Outro</v>
      </c>
      <c r="B990" s="54">
        <f>IFERROR(__xludf.DUMMYFUNCTION("""COMPUTED_VALUE"""),45597.0)</f>
        <v>45597</v>
      </c>
      <c r="C990" s="48"/>
    </row>
    <row r="991">
      <c r="A991" s="48" t="str">
        <f>IFERROR(__xludf.DUMMYFUNCTION("""COMPUTED_VALUE"""),"18. Mobilização Social")</f>
        <v>18. Mobilização Social</v>
      </c>
      <c r="B991" s="54">
        <f>IFERROR(__xludf.DUMMYFUNCTION("""COMPUTED_VALUE"""),45597.0)</f>
        <v>45597</v>
      </c>
      <c r="C991" s="48"/>
    </row>
    <row r="992">
      <c r="A992" s="48" t="str">
        <f>IFERROR(__xludf.DUMMYFUNCTION("""COMPUTED_VALUE"""),"20. Ação de Comunicação / Informação / Capacitação Externa")</f>
        <v>20. Ação de Comunicação / Informação / Capacitação Externa</v>
      </c>
      <c r="B992" s="54">
        <f>IFERROR(__xludf.DUMMYFUNCTION("""COMPUTED_VALUE"""),45597.0)</f>
        <v>45597</v>
      </c>
      <c r="C992" s="48"/>
    </row>
    <row r="993">
      <c r="A993" s="48" t="str">
        <f>IFERROR(__xludf.DUMMYFUNCTION("""COMPUTED_VALUE"""),"26. Outro")</f>
        <v>26. Outro</v>
      </c>
      <c r="B993" s="54">
        <f>IFERROR(__xludf.DUMMYFUNCTION("""COMPUTED_VALUE"""),45600.0)</f>
        <v>45600</v>
      </c>
      <c r="C993" s="48"/>
    </row>
    <row r="994">
      <c r="A994" s="48" t="str">
        <f>IFERROR(__xludf.DUMMYFUNCTION("""COMPUTED_VALUE"""),"18. Mobilização Social")</f>
        <v>18. Mobilização Social</v>
      </c>
      <c r="B994" s="54">
        <f>IFERROR(__xludf.DUMMYFUNCTION("""COMPUTED_VALUE"""),45600.0)</f>
        <v>45600</v>
      </c>
      <c r="C994" s="48" t="str">
        <f>IFERROR(__xludf.DUMMYFUNCTION("""COMPUTED_VALUE"""),"40")</f>
        <v>40</v>
      </c>
    </row>
    <row r="995">
      <c r="A995" s="48" t="str">
        <f>IFERROR(__xludf.DUMMYFUNCTION("""COMPUTED_VALUE"""),"20. Ação de Comunicação / Informação / Capacitação Externa")</f>
        <v>20. Ação de Comunicação / Informação / Capacitação Externa</v>
      </c>
      <c r="B995" s="54">
        <f>IFERROR(__xludf.DUMMYFUNCTION("""COMPUTED_VALUE"""),45600.0)</f>
        <v>45600</v>
      </c>
      <c r="C995" s="48"/>
    </row>
    <row r="996">
      <c r="A996" s="48" t="str">
        <f>IFERROR(__xludf.DUMMYFUNCTION("""COMPUTED_VALUE"""),"18. Mobilização Social")</f>
        <v>18. Mobilização Social</v>
      </c>
      <c r="B996" s="54">
        <f>IFERROR(__xludf.DUMMYFUNCTION("""COMPUTED_VALUE"""),45600.0)</f>
        <v>45600</v>
      </c>
      <c r="C996" s="48" t="str">
        <f>IFERROR(__xludf.DUMMYFUNCTION("""COMPUTED_VALUE"""),"7")</f>
        <v>7</v>
      </c>
    </row>
    <row r="997">
      <c r="A997" s="48" t="str">
        <f>IFERROR(__xludf.DUMMYFUNCTION("""COMPUTED_VALUE"""),"24. Projetos ou atividades Específicos")</f>
        <v>24. Projetos ou atividades Específicos</v>
      </c>
      <c r="B997" s="54">
        <f>IFERROR(__xludf.DUMMYFUNCTION("""COMPUTED_VALUE"""),45600.0)</f>
        <v>45600</v>
      </c>
      <c r="C997" s="48"/>
    </row>
    <row r="998">
      <c r="A998" s="48" t="str">
        <f>IFERROR(__xludf.DUMMYFUNCTION("""COMPUTED_VALUE"""),"12. CBH – Reunião do Fórum Cearense de Comitê")</f>
        <v>12. CBH – Reunião do Fórum Cearense de Comitê</v>
      </c>
      <c r="B998" s="54">
        <f>IFERROR(__xludf.DUMMYFUNCTION("""COMPUTED_VALUE"""),45601.0)</f>
        <v>45601</v>
      </c>
      <c r="C998" s="48" t="str">
        <f>IFERROR(__xludf.DUMMYFUNCTION("""COMPUTED_VALUE"""),"1")</f>
        <v>1</v>
      </c>
    </row>
    <row r="999">
      <c r="A999" s="48" t="str">
        <f>IFERROR(__xludf.DUMMYFUNCTION("""COMPUTED_VALUE"""),"20. Ação de Comunicação / Informação / Capacitação Externa")</f>
        <v>20. Ação de Comunicação / Informação / Capacitação Externa</v>
      </c>
      <c r="B999" s="54">
        <f>IFERROR(__xludf.DUMMYFUNCTION("""COMPUTED_VALUE"""),45601.0)</f>
        <v>45601</v>
      </c>
      <c r="C999" s="48"/>
    </row>
    <row r="1000">
      <c r="A1000" s="48" t="str">
        <f>IFERROR(__xludf.DUMMYFUNCTION("""COMPUTED_VALUE"""),"18. Mobilização Social")</f>
        <v>18. Mobilização Social</v>
      </c>
      <c r="B1000" s="54">
        <f>IFERROR(__xludf.DUMMYFUNCTION("""COMPUTED_VALUE"""),45601.0)</f>
        <v>45601</v>
      </c>
      <c r="C1000" s="48" t="str">
        <f>IFERROR(__xludf.DUMMYFUNCTION("""COMPUTED_VALUE"""),"40")</f>
        <v>40</v>
      </c>
    </row>
    <row r="1001">
      <c r="A1001" s="48" t="str">
        <f>IFERROR(__xludf.DUMMYFUNCTION("""COMPUTED_VALUE"""),"24. Projetos ou atividades Específicos")</f>
        <v>24. Projetos ou atividades Específicos</v>
      </c>
      <c r="B1001" s="54">
        <f>IFERROR(__xludf.DUMMYFUNCTION("""COMPUTED_VALUE"""),45601.0)</f>
        <v>45601</v>
      </c>
      <c r="C1001" s="48"/>
    </row>
    <row r="1002">
      <c r="A1002" s="48" t="str">
        <f>IFERROR(__xludf.DUMMYFUNCTION("""COMPUTED_VALUE"""),"25. Atividade Relacinada a Cobrança/Faturamento")</f>
        <v>25. Atividade Relacinada a Cobrança/Faturamento</v>
      </c>
      <c r="B1002" s="54">
        <f>IFERROR(__xludf.DUMMYFUNCTION("""COMPUTED_VALUE"""),45601.0)</f>
        <v>45601</v>
      </c>
      <c r="C1002" s="48"/>
    </row>
    <row r="1003">
      <c r="A1003" s="48" t="str">
        <f>IFERROR(__xludf.DUMMYFUNCTION("""COMPUTED_VALUE"""),"18. Mobilização Social")</f>
        <v>18. Mobilização Social</v>
      </c>
      <c r="B1003" s="54">
        <f>IFERROR(__xludf.DUMMYFUNCTION("""COMPUTED_VALUE"""),45602.0)</f>
        <v>45602</v>
      </c>
      <c r="C1003" s="48" t="str">
        <f>IFERROR(__xludf.DUMMYFUNCTION("""COMPUTED_VALUE"""),"8")</f>
        <v>8</v>
      </c>
    </row>
    <row r="1004">
      <c r="A1004" s="48" t="str">
        <f>IFERROR(__xludf.DUMMYFUNCTION("""COMPUTED_VALUE"""),"20. Ação de Comunicação / Informação / Capacitação Externa")</f>
        <v>20. Ação de Comunicação / Informação / Capacitação Externa</v>
      </c>
      <c r="B1004" s="54">
        <f>IFERROR(__xludf.DUMMYFUNCTION("""COMPUTED_VALUE"""),45602.0)</f>
        <v>45602</v>
      </c>
      <c r="C1004" s="48"/>
    </row>
    <row r="1005">
      <c r="A1005" s="48" t="str">
        <f>IFERROR(__xludf.DUMMYFUNCTION("""COMPUTED_VALUE"""),"25. Atividade Relacinada a Cobrança/Faturamento")</f>
        <v>25. Atividade Relacinada a Cobrança/Faturamento</v>
      </c>
      <c r="B1005" s="54">
        <f>IFERROR(__xludf.DUMMYFUNCTION("""COMPUTED_VALUE"""),45602.0)</f>
        <v>45602</v>
      </c>
      <c r="C1005" s="48"/>
    </row>
    <row r="1006">
      <c r="A1006" s="48" t="str">
        <f>IFERROR(__xludf.DUMMYFUNCTION("""COMPUTED_VALUE"""),"20. Ação de Comunicação / Informação / Capacitação Externa")</f>
        <v>20. Ação de Comunicação / Informação / Capacitação Externa</v>
      </c>
      <c r="B1006" s="54">
        <f>IFERROR(__xludf.DUMMYFUNCTION("""COMPUTED_VALUE"""),45602.0)</f>
        <v>45602</v>
      </c>
      <c r="C1006" s="48"/>
    </row>
    <row r="1007">
      <c r="A1007" s="48" t="str">
        <f>IFERROR(__xludf.DUMMYFUNCTION("""COMPUTED_VALUE"""),"20. Ação de Comunicação / Informação / Capacitação Externa")</f>
        <v>20. Ação de Comunicação / Informação / Capacitação Externa</v>
      </c>
      <c r="B1007" s="54">
        <f>IFERROR(__xludf.DUMMYFUNCTION("""COMPUTED_VALUE"""),45602.0)</f>
        <v>45602</v>
      </c>
      <c r="C1007" s="48"/>
    </row>
    <row r="1008">
      <c r="A1008" s="48" t="str">
        <f>IFERROR(__xludf.DUMMYFUNCTION("""COMPUTED_VALUE"""),"18. Mobilização Social")</f>
        <v>18. Mobilização Social</v>
      </c>
      <c r="B1008" s="54">
        <f>IFERROR(__xludf.DUMMYFUNCTION("""COMPUTED_VALUE"""),45603.0)</f>
        <v>45603</v>
      </c>
      <c r="C1008" s="48" t="str">
        <f>IFERROR(__xludf.DUMMYFUNCTION("""COMPUTED_VALUE"""),"8")</f>
        <v>8</v>
      </c>
    </row>
    <row r="1009">
      <c r="A1009" s="48" t="str">
        <f>IFERROR(__xludf.DUMMYFUNCTION("""COMPUTED_VALUE"""),"25. Atividade Relacinada a Cobrança/Faturamento")</f>
        <v>25. Atividade Relacinada a Cobrança/Faturamento</v>
      </c>
      <c r="B1009" s="54">
        <f>IFERROR(__xludf.DUMMYFUNCTION("""COMPUTED_VALUE"""),45603.0)</f>
        <v>45603</v>
      </c>
      <c r="C1009" s="48"/>
    </row>
    <row r="1010">
      <c r="A1010" s="48" t="str">
        <f>IFERROR(__xludf.DUMMYFUNCTION("""COMPUTED_VALUE"""),"20. Ação de Comunicação / Informação / Capacitação Externa")</f>
        <v>20. Ação de Comunicação / Informação / Capacitação Externa</v>
      </c>
      <c r="B1010" s="54">
        <f>IFERROR(__xludf.DUMMYFUNCTION("""COMPUTED_VALUE"""),45603.0)</f>
        <v>45603</v>
      </c>
      <c r="C1010" s="48"/>
    </row>
    <row r="1011">
      <c r="A1011" s="48" t="str">
        <f>IFERROR(__xludf.DUMMYFUNCTION("""COMPUTED_VALUE"""),"20. Ação de Comunicação / Informação / Capacitação Externa")</f>
        <v>20. Ação de Comunicação / Informação / Capacitação Externa</v>
      </c>
      <c r="B1011" s="54">
        <f>IFERROR(__xludf.DUMMYFUNCTION("""COMPUTED_VALUE"""),45603.0)</f>
        <v>45603</v>
      </c>
      <c r="C1011" s="48"/>
    </row>
    <row r="1012">
      <c r="A1012" s="48" t="str">
        <f>IFERROR(__xludf.DUMMYFUNCTION("""COMPUTED_VALUE"""),"18. Mobilização Social")</f>
        <v>18. Mobilização Social</v>
      </c>
      <c r="B1012" s="54">
        <f>IFERROR(__xludf.DUMMYFUNCTION("""COMPUTED_VALUE"""),45604.0)</f>
        <v>45604</v>
      </c>
      <c r="C1012" s="48" t="str">
        <f>IFERROR(__xludf.DUMMYFUNCTION("""COMPUTED_VALUE"""),"5")</f>
        <v>5</v>
      </c>
    </row>
    <row r="1013">
      <c r="A1013" s="48" t="str">
        <f>IFERROR(__xludf.DUMMYFUNCTION("""COMPUTED_VALUE"""),"25. Atividade Relacinada a Cobrança/Faturamento")</f>
        <v>25. Atividade Relacinada a Cobrança/Faturamento</v>
      </c>
      <c r="B1013" s="54">
        <f>IFERROR(__xludf.DUMMYFUNCTION("""COMPUTED_VALUE"""),45604.0)</f>
        <v>45604</v>
      </c>
      <c r="C1013" s="48"/>
    </row>
    <row r="1014">
      <c r="A1014" s="48" t="str">
        <f>IFERROR(__xludf.DUMMYFUNCTION("""COMPUTED_VALUE"""),"18. Mobilização Social")</f>
        <v>18. Mobilização Social</v>
      </c>
      <c r="B1014" s="54">
        <f>IFERROR(__xludf.DUMMYFUNCTION("""COMPUTED_VALUE"""),45607.0)</f>
        <v>45607</v>
      </c>
      <c r="C1014" s="48" t="str">
        <f>IFERROR(__xludf.DUMMYFUNCTION("""COMPUTED_VALUE"""),"8")</f>
        <v>8</v>
      </c>
    </row>
    <row r="1015">
      <c r="A1015" s="48" t="str">
        <f>IFERROR(__xludf.DUMMYFUNCTION("""COMPUTED_VALUE"""),"21. Projetos Especiais")</f>
        <v>21. Projetos Especiais</v>
      </c>
      <c r="B1015" s="54">
        <f>IFERROR(__xludf.DUMMYFUNCTION("""COMPUTED_VALUE"""),45607.0)</f>
        <v>45607</v>
      </c>
      <c r="C1015" s="48"/>
    </row>
    <row r="1016">
      <c r="A1016" s="48" t="str">
        <f>IFERROR(__xludf.DUMMYFUNCTION("""COMPUTED_VALUE"""),"20. Ação de Comunicação / Informação / Capacitação Externa")</f>
        <v>20. Ação de Comunicação / Informação / Capacitação Externa</v>
      </c>
      <c r="B1016" s="54">
        <f>IFERROR(__xludf.DUMMYFUNCTION("""COMPUTED_VALUE"""),45607.0)</f>
        <v>45607</v>
      </c>
      <c r="C1016" s="48"/>
    </row>
    <row r="1017">
      <c r="A1017" s="48" t="str">
        <f>IFERROR(__xludf.DUMMYFUNCTION("""COMPUTED_VALUE"""),"20. Ação de Comunicação / Informação / Capacitação Externa")</f>
        <v>20. Ação de Comunicação / Informação / Capacitação Externa</v>
      </c>
      <c r="B1017" s="54">
        <f>IFERROR(__xludf.DUMMYFUNCTION("""COMPUTED_VALUE"""),45607.0)</f>
        <v>45607</v>
      </c>
      <c r="C1017" s="48"/>
    </row>
    <row r="1018">
      <c r="A1018" s="48" t="str">
        <f>IFERROR(__xludf.DUMMYFUNCTION("""COMPUTED_VALUE"""),"26. Outro")</f>
        <v>26. Outro</v>
      </c>
      <c r="B1018" s="54">
        <f>IFERROR(__xludf.DUMMYFUNCTION("""COMPUTED_VALUE"""),45607.0)</f>
        <v>45607</v>
      </c>
      <c r="C1018" s="48"/>
    </row>
    <row r="1019">
      <c r="A1019" s="48" t="str">
        <f>IFERROR(__xludf.DUMMYFUNCTION("""COMPUTED_VALUE"""),"20. Ação de Comunicação / Informação / Capacitação Externa")</f>
        <v>20. Ação de Comunicação / Informação / Capacitação Externa</v>
      </c>
      <c r="B1019" s="54">
        <f>IFERROR(__xludf.DUMMYFUNCTION("""COMPUTED_VALUE"""),45607.0)</f>
        <v>45607</v>
      </c>
      <c r="C1019" s="48"/>
    </row>
    <row r="1020">
      <c r="A1020" s="48" t="str">
        <f>IFERROR(__xludf.DUMMYFUNCTION("""COMPUTED_VALUE"""),"8. CBH – Reunião de Diretoria do CBH")</f>
        <v>8. CBH – Reunião de Diretoria do CBH</v>
      </c>
      <c r="B1020" s="54">
        <f>IFERROR(__xludf.DUMMYFUNCTION("""COMPUTED_VALUE"""),45607.0)</f>
        <v>45607</v>
      </c>
      <c r="C1020" s="48" t="str">
        <f>IFERROR(__xludf.DUMMYFUNCTION("""COMPUTED_VALUE"""),"4")</f>
        <v>4</v>
      </c>
    </row>
    <row r="1021">
      <c r="A1021" s="48" t="str">
        <f>IFERROR(__xludf.DUMMYFUNCTION("""COMPUTED_VALUE"""),"21. Projetos Especiais")</f>
        <v>21. Projetos Especiais</v>
      </c>
      <c r="B1021" s="54">
        <f>IFERROR(__xludf.DUMMYFUNCTION("""COMPUTED_VALUE"""),45607.0)</f>
        <v>45607</v>
      </c>
      <c r="C1021" s="48"/>
    </row>
    <row r="1022">
      <c r="A1022" s="48" t="str">
        <f>IFERROR(__xludf.DUMMYFUNCTION("""COMPUTED_VALUE"""),"18. Mobilização Social")</f>
        <v>18. Mobilização Social</v>
      </c>
      <c r="B1022" s="54">
        <f>IFERROR(__xludf.DUMMYFUNCTION("""COMPUTED_VALUE"""),45608.0)</f>
        <v>45608</v>
      </c>
      <c r="C1022" s="48"/>
    </row>
    <row r="1023">
      <c r="A1023" s="48" t="str">
        <f>IFERROR(__xludf.DUMMYFUNCTION("""COMPUTED_VALUE"""),"20. Ação de Comunicação / Informação / Capacitação Externa")</f>
        <v>20. Ação de Comunicação / Informação / Capacitação Externa</v>
      </c>
      <c r="B1023" s="54">
        <f>IFERROR(__xludf.DUMMYFUNCTION("""COMPUTED_VALUE"""),45608.0)</f>
        <v>45608</v>
      </c>
      <c r="C1023" s="48"/>
    </row>
    <row r="1024">
      <c r="A1024" s="48" t="str">
        <f>IFERROR(__xludf.DUMMYFUNCTION("""COMPUTED_VALUE"""),"20. Ação de Comunicação / Informação / Capacitação Externa")</f>
        <v>20. Ação de Comunicação / Informação / Capacitação Externa</v>
      </c>
      <c r="B1024" s="54">
        <f>IFERROR(__xludf.DUMMYFUNCTION("""COMPUTED_VALUE"""),45608.0)</f>
        <v>45608</v>
      </c>
      <c r="C1024" s="48"/>
    </row>
    <row r="1025">
      <c r="A1025" s="48" t="str">
        <f>IFERROR(__xludf.DUMMYFUNCTION("""COMPUTED_VALUE"""),"21. Projetos Especiais")</f>
        <v>21. Projetos Especiais</v>
      </c>
      <c r="B1025" s="54">
        <f>IFERROR(__xludf.DUMMYFUNCTION("""COMPUTED_VALUE"""),45608.0)</f>
        <v>45608</v>
      </c>
      <c r="C1025" s="48"/>
    </row>
    <row r="1026">
      <c r="A1026" s="48" t="str">
        <f>IFERROR(__xludf.DUMMYFUNCTION("""COMPUTED_VALUE"""),"15. CG – Reunião de Comissão Gestora")</f>
        <v>15. CG – Reunião de Comissão Gestora</v>
      </c>
      <c r="B1026" s="54">
        <f>IFERROR(__xludf.DUMMYFUNCTION("""COMPUTED_VALUE"""),45609.0)</f>
        <v>45609</v>
      </c>
      <c r="C1026" s="48" t="str">
        <f>IFERROR(__xludf.DUMMYFUNCTION("""COMPUTED_VALUE"""),"8")</f>
        <v>8</v>
      </c>
    </row>
    <row r="1027">
      <c r="A1027" s="48" t="str">
        <f>IFERROR(__xludf.DUMMYFUNCTION("""COMPUTED_VALUE"""),"20. Ação de Comunicação / Informação / Capacitação Externa")</f>
        <v>20. Ação de Comunicação / Informação / Capacitação Externa</v>
      </c>
      <c r="B1027" s="54">
        <f>IFERROR(__xludf.DUMMYFUNCTION("""COMPUTED_VALUE"""),45609.0)</f>
        <v>45609</v>
      </c>
      <c r="C1027" s="48"/>
    </row>
    <row r="1028">
      <c r="A1028" s="48" t="str">
        <f>IFERROR(__xludf.DUMMYFUNCTION("""COMPUTED_VALUE"""),"20. Ação de Comunicação / Informação / Capacitação Externa")</f>
        <v>20. Ação de Comunicação / Informação / Capacitação Externa</v>
      </c>
      <c r="B1028" s="54">
        <f>IFERROR(__xludf.DUMMYFUNCTION("""COMPUTED_VALUE"""),45609.0)</f>
        <v>45609</v>
      </c>
      <c r="C1028" s="48"/>
    </row>
    <row r="1029">
      <c r="A1029" s="48" t="str">
        <f>IFERROR(__xludf.DUMMYFUNCTION("""COMPUTED_VALUE"""),"20. Ação de Comunicação / Informação / Capacitação Externa")</f>
        <v>20. Ação de Comunicação / Informação / Capacitação Externa</v>
      </c>
      <c r="B1029" s="54">
        <f>IFERROR(__xludf.DUMMYFUNCTION("""COMPUTED_VALUE"""),45609.0)</f>
        <v>45609</v>
      </c>
      <c r="C1029" s="48"/>
    </row>
    <row r="1030">
      <c r="A1030" s="48" t="str">
        <f>IFERROR(__xludf.DUMMYFUNCTION("""COMPUTED_VALUE"""),"20. Ação de Comunicação / Informação / Capacitação Externa")</f>
        <v>20. Ação de Comunicação / Informação / Capacitação Externa</v>
      </c>
      <c r="B1030" s="54">
        <f>IFERROR(__xludf.DUMMYFUNCTION("""COMPUTED_VALUE"""),45609.0)</f>
        <v>45609</v>
      </c>
      <c r="C1030" s="48"/>
    </row>
    <row r="1031">
      <c r="A1031" s="48" t="str">
        <f>IFERROR(__xludf.DUMMYFUNCTION("""COMPUTED_VALUE"""),"20. Ação de Comunicação / Informação / Capacitação Externa")</f>
        <v>20. Ação de Comunicação / Informação / Capacitação Externa</v>
      </c>
      <c r="B1031" s="54">
        <f>IFERROR(__xludf.DUMMYFUNCTION("""COMPUTED_VALUE"""),45609.0)</f>
        <v>45609</v>
      </c>
      <c r="C1031" s="48"/>
    </row>
    <row r="1032">
      <c r="A1032" s="48" t="str">
        <f>IFERROR(__xludf.DUMMYFUNCTION("""COMPUTED_VALUE"""),"20. Ação de Comunicação / Informação / Capacitação Externa")</f>
        <v>20. Ação de Comunicação / Informação / Capacitação Externa</v>
      </c>
      <c r="B1032" s="54">
        <f>IFERROR(__xludf.DUMMYFUNCTION("""COMPUTED_VALUE"""),45609.0)</f>
        <v>45609</v>
      </c>
      <c r="C1032" s="48"/>
    </row>
    <row r="1033">
      <c r="A1033" s="48" t="str">
        <f>IFERROR(__xludf.DUMMYFUNCTION("""COMPUTED_VALUE"""),"20. Ação de Comunicação / Informação / Capacitação Externa")</f>
        <v>20. Ação de Comunicação / Informação / Capacitação Externa</v>
      </c>
      <c r="B1033" s="54">
        <f>IFERROR(__xludf.DUMMYFUNCTION("""COMPUTED_VALUE"""),45609.0)</f>
        <v>45609</v>
      </c>
      <c r="C1033" s="48"/>
    </row>
    <row r="1034">
      <c r="A1034" s="48" t="str">
        <f>IFERROR(__xludf.DUMMYFUNCTION("""COMPUTED_VALUE"""),"20. Ação de Comunicação / Informação / Capacitação Externa")</f>
        <v>20. Ação de Comunicação / Informação / Capacitação Externa</v>
      </c>
      <c r="B1034" s="54">
        <f>IFERROR(__xludf.DUMMYFUNCTION("""COMPUTED_VALUE"""),45609.0)</f>
        <v>45609</v>
      </c>
      <c r="C1034" s="48"/>
    </row>
    <row r="1035">
      <c r="A1035" s="48" t="str">
        <f>IFERROR(__xludf.DUMMYFUNCTION("""COMPUTED_VALUE"""),"20. Ação de Comunicação / Informação / Capacitação Externa")</f>
        <v>20. Ação de Comunicação / Informação / Capacitação Externa</v>
      </c>
      <c r="B1035" s="54">
        <f>IFERROR(__xludf.DUMMYFUNCTION("""COMPUTED_VALUE"""),45609.0)</f>
        <v>45609</v>
      </c>
      <c r="C1035" s="48"/>
    </row>
    <row r="1036">
      <c r="A1036" s="48" t="str">
        <f>IFERROR(__xludf.DUMMYFUNCTION("""COMPUTED_VALUE"""),"20. Ação de Comunicação / Informação / Capacitação Externa")</f>
        <v>20. Ação de Comunicação / Informação / Capacitação Externa</v>
      </c>
      <c r="B1036" s="54">
        <f>IFERROR(__xludf.DUMMYFUNCTION("""COMPUTED_VALUE"""),45609.0)</f>
        <v>45609</v>
      </c>
      <c r="C1036" s="48"/>
    </row>
    <row r="1037">
      <c r="A1037" s="48" t="str">
        <f>IFERROR(__xludf.DUMMYFUNCTION("""COMPUTED_VALUE"""),"20. Ação de Comunicação / Informação / Capacitação Externa")</f>
        <v>20. Ação de Comunicação / Informação / Capacitação Externa</v>
      </c>
      <c r="B1037" s="54">
        <f>IFERROR(__xludf.DUMMYFUNCTION("""COMPUTED_VALUE"""),45609.0)</f>
        <v>45609</v>
      </c>
      <c r="C1037" s="48"/>
    </row>
    <row r="1038">
      <c r="A1038" s="48" t="str">
        <f>IFERROR(__xludf.DUMMYFUNCTION("""COMPUTED_VALUE"""),"20. Ação de Comunicação / Informação / Capacitação Externa")</f>
        <v>20. Ação de Comunicação / Informação / Capacitação Externa</v>
      </c>
      <c r="B1038" s="54">
        <f>IFERROR(__xludf.DUMMYFUNCTION("""COMPUTED_VALUE"""),45610.0)</f>
        <v>45610</v>
      </c>
      <c r="C1038" s="48"/>
    </row>
    <row r="1039">
      <c r="A1039" s="48" t="str">
        <f>IFERROR(__xludf.DUMMYFUNCTION("""COMPUTED_VALUE"""),"26. Outro")</f>
        <v>26. Outro</v>
      </c>
      <c r="B1039" s="54">
        <f>IFERROR(__xludf.DUMMYFUNCTION("""COMPUTED_VALUE"""),45614.0)</f>
        <v>45614</v>
      </c>
      <c r="C1039" s="48"/>
    </row>
    <row r="1040">
      <c r="A1040" s="48" t="str">
        <f>IFERROR(__xludf.DUMMYFUNCTION("""COMPUTED_VALUE"""),"20. Ação de Comunicação / Informação / Capacitação Externa")</f>
        <v>20. Ação de Comunicação / Informação / Capacitação Externa</v>
      </c>
      <c r="B1040" s="54">
        <f>IFERROR(__xludf.DUMMYFUNCTION("""COMPUTED_VALUE"""),45614.0)</f>
        <v>45614</v>
      </c>
      <c r="C1040" s="48"/>
    </row>
    <row r="1041">
      <c r="A1041" s="48" t="str">
        <f>IFERROR(__xludf.DUMMYFUNCTION("""COMPUTED_VALUE"""),"18. Mobilização Social")</f>
        <v>18. Mobilização Social</v>
      </c>
      <c r="B1041" s="54">
        <f>IFERROR(__xludf.DUMMYFUNCTION("""COMPUTED_VALUE"""),45615.0)</f>
        <v>45615</v>
      </c>
      <c r="C1041" s="48" t="str">
        <f>IFERROR(__xludf.DUMMYFUNCTION("""COMPUTED_VALUE"""),"40")</f>
        <v>40</v>
      </c>
    </row>
    <row r="1042">
      <c r="A1042" s="48" t="str">
        <f>IFERROR(__xludf.DUMMYFUNCTION("""COMPUTED_VALUE"""),"20. Ação de Comunicação / Informação / Capacitação Externa")</f>
        <v>20. Ação de Comunicação / Informação / Capacitação Externa</v>
      </c>
      <c r="B1042" s="54">
        <f>IFERROR(__xludf.DUMMYFUNCTION("""COMPUTED_VALUE"""),45615.0)</f>
        <v>45615</v>
      </c>
      <c r="C1042" s="48"/>
    </row>
    <row r="1043">
      <c r="A1043" s="48" t="str">
        <f>IFERROR(__xludf.DUMMYFUNCTION("""COMPUTED_VALUE"""),"18. Mobilização Social")</f>
        <v>18. Mobilização Social</v>
      </c>
      <c r="B1043" s="54">
        <f>IFERROR(__xludf.DUMMYFUNCTION("""COMPUTED_VALUE"""),45615.0)</f>
        <v>45615</v>
      </c>
      <c r="C1043" s="48" t="str">
        <f>IFERROR(__xludf.DUMMYFUNCTION("""COMPUTED_VALUE"""),"7")</f>
        <v>7</v>
      </c>
    </row>
    <row r="1044">
      <c r="A1044" s="48" t="str">
        <f>IFERROR(__xludf.DUMMYFUNCTION("""COMPUTED_VALUE"""),"20. Ação de Comunicação / Informação / Capacitação Externa")</f>
        <v>20. Ação de Comunicação / Informação / Capacitação Externa</v>
      </c>
      <c r="B1044" s="54">
        <f>IFERROR(__xludf.DUMMYFUNCTION("""COMPUTED_VALUE"""),45616.0)</f>
        <v>45616</v>
      </c>
      <c r="C1044" s="48"/>
    </row>
    <row r="1045">
      <c r="A1045" s="48" t="str">
        <f>IFERROR(__xludf.DUMMYFUNCTION("""COMPUTED_VALUE"""),"26. Outro")</f>
        <v>26. Outro</v>
      </c>
      <c r="B1045" s="54">
        <f>IFERROR(__xludf.DUMMYFUNCTION("""COMPUTED_VALUE"""),45617.0)</f>
        <v>45617</v>
      </c>
      <c r="C1045" s="48"/>
    </row>
    <row r="1046">
      <c r="A1046" s="48" t="str">
        <f>IFERROR(__xludf.DUMMYFUNCTION("""COMPUTED_VALUE"""),"7. CBH – Reunião Extraordinária do Comitê")</f>
        <v>7. CBH – Reunião Extraordinária do Comitê</v>
      </c>
      <c r="B1046" s="54">
        <f>IFERROR(__xludf.DUMMYFUNCTION("""COMPUTED_VALUE"""),45617.0)</f>
        <v>45617</v>
      </c>
      <c r="C1046" s="48" t="str">
        <f>IFERROR(__xludf.DUMMYFUNCTION("""COMPUTED_VALUE"""),"30")</f>
        <v>30</v>
      </c>
    </row>
    <row r="1047">
      <c r="A1047" s="48" t="str">
        <f>IFERROR(__xludf.DUMMYFUNCTION("""COMPUTED_VALUE"""),"26. Outro")</f>
        <v>26. Outro</v>
      </c>
      <c r="B1047" s="54">
        <f>IFERROR(__xludf.DUMMYFUNCTION("""COMPUTED_VALUE"""),45617.0)</f>
        <v>45617</v>
      </c>
      <c r="C1047" s="48"/>
    </row>
    <row r="1048">
      <c r="A1048" s="48" t="str">
        <f>IFERROR(__xludf.DUMMYFUNCTION("""COMPUTED_VALUE"""),"20. Ação de Comunicação / Informação / Capacitação Externa")</f>
        <v>20. Ação de Comunicação / Informação / Capacitação Externa</v>
      </c>
      <c r="B1048" s="54">
        <f>IFERROR(__xludf.DUMMYFUNCTION("""COMPUTED_VALUE"""),45617.0)</f>
        <v>45617</v>
      </c>
      <c r="C1048" s="48"/>
    </row>
    <row r="1049">
      <c r="A1049" s="48" t="str">
        <f>IFERROR(__xludf.DUMMYFUNCTION("""COMPUTED_VALUE"""),"20. Ação de Comunicação / Informação / Capacitação Externa")</f>
        <v>20. Ação de Comunicação / Informação / Capacitação Externa</v>
      </c>
      <c r="B1049" s="54">
        <f>IFERROR(__xludf.DUMMYFUNCTION("""COMPUTED_VALUE"""),45617.0)</f>
        <v>45617</v>
      </c>
      <c r="C1049" s="48"/>
    </row>
    <row r="1050">
      <c r="A1050" s="48" t="str">
        <f>IFERROR(__xludf.DUMMYFUNCTION("""COMPUTED_VALUE"""),"20. Ação de Comunicação / Informação / Capacitação Externa")</f>
        <v>20. Ação de Comunicação / Informação / Capacitação Externa</v>
      </c>
      <c r="B1050" s="54">
        <f>IFERROR(__xludf.DUMMYFUNCTION("""COMPUTED_VALUE"""),45618.0)</f>
        <v>45618</v>
      </c>
      <c r="C1050" s="48"/>
    </row>
    <row r="1051">
      <c r="A1051" s="48" t="str">
        <f>IFERROR(__xludf.DUMMYFUNCTION("""COMPUTED_VALUE"""),"26. Outro")</f>
        <v>26. Outro</v>
      </c>
      <c r="B1051" s="54">
        <f>IFERROR(__xludf.DUMMYFUNCTION("""COMPUTED_VALUE"""),45618.0)</f>
        <v>45618</v>
      </c>
      <c r="C1051" s="48"/>
    </row>
    <row r="1052">
      <c r="A1052" s="48" t="str">
        <f>IFERROR(__xludf.DUMMYFUNCTION("""COMPUTED_VALUE"""),"26. Outro")</f>
        <v>26. Outro</v>
      </c>
      <c r="B1052" s="54">
        <f>IFERROR(__xludf.DUMMYFUNCTION("""COMPUTED_VALUE"""),45618.0)</f>
        <v>45618</v>
      </c>
      <c r="C1052" s="48"/>
    </row>
    <row r="1053">
      <c r="A1053" s="48" t="str">
        <f>IFERROR(__xludf.DUMMYFUNCTION("""COMPUTED_VALUE"""),"20. Ação de Comunicação / Informação / Capacitação Externa")</f>
        <v>20. Ação de Comunicação / Informação / Capacitação Externa</v>
      </c>
      <c r="B1053" s="54">
        <f>IFERROR(__xludf.DUMMYFUNCTION("""COMPUTED_VALUE"""),45618.0)</f>
        <v>45618</v>
      </c>
      <c r="C1053" s="48"/>
    </row>
    <row r="1054">
      <c r="A1054" s="48" t="str">
        <f>IFERROR(__xludf.DUMMYFUNCTION("""COMPUTED_VALUE"""),"20. Ação de Comunicação / Informação / Capacitação Externa")</f>
        <v>20. Ação de Comunicação / Informação / Capacitação Externa</v>
      </c>
      <c r="B1054" s="54">
        <f>IFERROR(__xludf.DUMMYFUNCTION("""COMPUTED_VALUE"""),45618.0)</f>
        <v>45618</v>
      </c>
      <c r="C1054" s="48"/>
    </row>
    <row r="1055">
      <c r="A1055" s="48" t="str">
        <f>IFERROR(__xludf.DUMMYFUNCTION("""COMPUTED_VALUE"""),"26. Outro")</f>
        <v>26. Outro</v>
      </c>
      <c r="B1055" s="54">
        <f>IFERROR(__xludf.DUMMYFUNCTION("""COMPUTED_VALUE"""),45618.0)</f>
        <v>45618</v>
      </c>
      <c r="C1055" s="48"/>
    </row>
    <row r="1056">
      <c r="A1056" s="48" t="str">
        <f>IFERROR(__xludf.DUMMYFUNCTION("""COMPUTED_VALUE"""),"18. Mobilização Social")</f>
        <v>18. Mobilização Social</v>
      </c>
      <c r="B1056" s="54">
        <f>IFERROR(__xludf.DUMMYFUNCTION("""COMPUTED_VALUE"""),45621.0)</f>
        <v>45621</v>
      </c>
      <c r="C1056" s="48" t="str">
        <f>IFERROR(__xludf.DUMMYFUNCTION("""COMPUTED_VALUE"""),"4")</f>
        <v>4</v>
      </c>
    </row>
    <row r="1057">
      <c r="A1057" s="48" t="str">
        <f>IFERROR(__xludf.DUMMYFUNCTION("""COMPUTED_VALUE"""),"18. Mobilização Social")</f>
        <v>18. Mobilização Social</v>
      </c>
      <c r="B1057" s="54">
        <f>IFERROR(__xludf.DUMMYFUNCTION("""COMPUTED_VALUE"""),45621.0)</f>
        <v>45621</v>
      </c>
      <c r="C1057" s="48" t="str">
        <f>IFERROR(__xludf.DUMMYFUNCTION("""COMPUTED_VALUE"""),"6")</f>
        <v>6</v>
      </c>
    </row>
    <row r="1058">
      <c r="A1058" s="48" t="str">
        <f>IFERROR(__xludf.DUMMYFUNCTION("""COMPUTED_VALUE"""),"20. Ação de Comunicação / Informação / Capacitação Externa")</f>
        <v>20. Ação de Comunicação / Informação / Capacitação Externa</v>
      </c>
      <c r="B1058" s="54">
        <f>IFERROR(__xludf.DUMMYFUNCTION("""COMPUTED_VALUE"""),45621.0)</f>
        <v>45621</v>
      </c>
      <c r="C1058" s="48"/>
    </row>
    <row r="1059">
      <c r="A1059" s="48" t="str">
        <f>IFERROR(__xludf.DUMMYFUNCTION("""COMPUTED_VALUE"""),"18. Mobilização Social")</f>
        <v>18. Mobilização Social</v>
      </c>
      <c r="B1059" s="54">
        <f>IFERROR(__xludf.DUMMYFUNCTION("""COMPUTED_VALUE"""),45622.0)</f>
        <v>45622</v>
      </c>
      <c r="C1059" s="48" t="str">
        <f>IFERROR(__xludf.DUMMYFUNCTION("""COMPUTED_VALUE"""),"5")</f>
        <v>5</v>
      </c>
    </row>
    <row r="1060">
      <c r="A1060" s="48" t="str">
        <f>IFERROR(__xludf.DUMMYFUNCTION("""COMPUTED_VALUE"""),"26. Outro")</f>
        <v>26. Outro</v>
      </c>
      <c r="B1060" s="54">
        <f>IFERROR(__xludf.DUMMYFUNCTION("""COMPUTED_VALUE"""),45622.0)</f>
        <v>45622</v>
      </c>
      <c r="C1060" s="48"/>
    </row>
    <row r="1061">
      <c r="A1061" s="48" t="str">
        <f>IFERROR(__xludf.DUMMYFUNCTION("""COMPUTED_VALUE"""),"18. Mobilização Social")</f>
        <v>18. Mobilização Social</v>
      </c>
      <c r="B1061" s="54">
        <f>IFERROR(__xludf.DUMMYFUNCTION("""COMPUTED_VALUE"""),45623.0)</f>
        <v>45623</v>
      </c>
      <c r="C1061" s="48" t="str">
        <f>IFERROR(__xludf.DUMMYFUNCTION("""COMPUTED_VALUE"""),"8")</f>
        <v>8</v>
      </c>
    </row>
    <row r="1062">
      <c r="A1062" s="48" t="str">
        <f>IFERROR(__xludf.DUMMYFUNCTION("""COMPUTED_VALUE"""),"26. Outro")</f>
        <v>26. Outro</v>
      </c>
      <c r="B1062" s="54">
        <f>IFERROR(__xludf.DUMMYFUNCTION("""COMPUTED_VALUE"""),45623.0)</f>
        <v>45623</v>
      </c>
      <c r="C1062" s="48"/>
    </row>
    <row r="1063">
      <c r="A1063" s="48" t="str">
        <f>IFERROR(__xludf.DUMMYFUNCTION("""COMPUTED_VALUE"""),"20. Ação de Comunicação / Informação / Capacitação Externa")</f>
        <v>20. Ação de Comunicação / Informação / Capacitação Externa</v>
      </c>
      <c r="B1063" s="54">
        <f>IFERROR(__xludf.DUMMYFUNCTION("""COMPUTED_VALUE"""),45623.0)</f>
        <v>45623</v>
      </c>
      <c r="C1063" s="48"/>
    </row>
    <row r="1064">
      <c r="A1064" s="48" t="str">
        <f>IFERROR(__xludf.DUMMYFUNCTION("""COMPUTED_VALUE"""),"26. Outro")</f>
        <v>26. Outro</v>
      </c>
      <c r="B1064" s="54">
        <f>IFERROR(__xludf.DUMMYFUNCTION("""COMPUTED_VALUE"""),45623.0)</f>
        <v>45623</v>
      </c>
      <c r="C1064" s="48"/>
    </row>
    <row r="1065">
      <c r="A1065" s="48" t="str">
        <f>IFERROR(__xludf.DUMMYFUNCTION("""COMPUTED_VALUE"""),"20. Ação de Comunicação / Informação / Capacitação Externa")</f>
        <v>20. Ação de Comunicação / Informação / Capacitação Externa</v>
      </c>
      <c r="B1065" s="54">
        <f>IFERROR(__xludf.DUMMYFUNCTION("""COMPUTED_VALUE"""),45623.0)</f>
        <v>45623</v>
      </c>
      <c r="C1065" s="48"/>
    </row>
    <row r="1066">
      <c r="A1066" s="48" t="str">
        <f>IFERROR(__xludf.DUMMYFUNCTION("""COMPUTED_VALUE"""),"18. Mobilização Social")</f>
        <v>18. Mobilização Social</v>
      </c>
      <c r="B1066" s="54">
        <f>IFERROR(__xludf.DUMMYFUNCTION("""COMPUTED_VALUE"""),45624.0)</f>
        <v>45624</v>
      </c>
      <c r="C1066" s="48" t="str">
        <f>IFERROR(__xludf.DUMMYFUNCTION("""COMPUTED_VALUE"""),"7")</f>
        <v>7</v>
      </c>
    </row>
    <row r="1067">
      <c r="A1067" s="48" t="str">
        <f>IFERROR(__xludf.DUMMYFUNCTION("""COMPUTED_VALUE"""),"20. Ação de Comunicação / Informação / Capacitação Externa")</f>
        <v>20. Ação de Comunicação / Informação / Capacitação Externa</v>
      </c>
      <c r="B1067" s="54">
        <f>IFERROR(__xludf.DUMMYFUNCTION("""COMPUTED_VALUE"""),45624.0)</f>
        <v>45624</v>
      </c>
      <c r="C1067" s="48"/>
    </row>
    <row r="1068">
      <c r="A1068" s="48" t="str">
        <f>IFERROR(__xludf.DUMMYFUNCTION("""COMPUTED_VALUE"""),"24. Projetos ou atividades Específicos")</f>
        <v>24. Projetos ou atividades Específicos</v>
      </c>
      <c r="B1068" s="54">
        <f>IFERROR(__xludf.DUMMYFUNCTION("""COMPUTED_VALUE"""),45625.0)</f>
        <v>45625</v>
      </c>
      <c r="C1068" s="48"/>
    </row>
    <row r="1069">
      <c r="A1069" s="48" t="str">
        <f>IFERROR(__xludf.DUMMYFUNCTION("""COMPUTED_VALUE"""),"25. Atividade Relacinada a Cobrança/Faturamento")</f>
        <v>25. Atividade Relacinada a Cobrança/Faturamento</v>
      </c>
      <c r="B1069" s="54">
        <f>IFERROR(__xludf.DUMMYFUNCTION("""COMPUTED_VALUE"""),45625.0)</f>
        <v>45625</v>
      </c>
      <c r="C1069" s="48"/>
    </row>
    <row r="1070">
      <c r="A1070" s="48" t="str">
        <f>IFERROR(__xludf.DUMMYFUNCTION("""COMPUTED_VALUE"""),"20. Ação de Comunicação / Informação / Capacitação Externa")</f>
        <v>20. Ação de Comunicação / Informação / Capacitação Externa</v>
      </c>
      <c r="B1070" s="54">
        <f>IFERROR(__xludf.DUMMYFUNCTION("""COMPUTED_VALUE"""),45625.0)</f>
        <v>45625</v>
      </c>
      <c r="C1070" s="48"/>
    </row>
    <row r="1071">
      <c r="A1071" s="48" t="str">
        <f>IFERROR(__xludf.DUMMYFUNCTION("""COMPUTED_VALUE"""),"26. Outro")</f>
        <v>26. Outro</v>
      </c>
      <c r="B1071" s="54">
        <f>IFERROR(__xludf.DUMMYFUNCTION("""COMPUTED_VALUE"""),45628.0)</f>
        <v>45628</v>
      </c>
      <c r="C1071" s="48"/>
    </row>
    <row r="1072">
      <c r="A1072" s="48" t="str">
        <f>IFERROR(__xludf.DUMMYFUNCTION("""COMPUTED_VALUE"""),"20. Ação de Comunicação / Informação / Capacitação Externa")</f>
        <v>20. Ação de Comunicação / Informação / Capacitação Externa</v>
      </c>
      <c r="B1072" s="54">
        <f>IFERROR(__xludf.DUMMYFUNCTION("""COMPUTED_VALUE"""),45628.0)</f>
        <v>45628</v>
      </c>
      <c r="C1072" s="48"/>
    </row>
    <row r="1073">
      <c r="A1073" s="48" t="str">
        <f>IFERROR(__xludf.DUMMYFUNCTION("""COMPUTED_VALUE"""),"26. Outro")</f>
        <v>26. Outro</v>
      </c>
      <c r="B1073" s="54">
        <f>IFERROR(__xludf.DUMMYFUNCTION("""COMPUTED_VALUE"""),45628.0)</f>
        <v>45628</v>
      </c>
      <c r="C1073" s="48"/>
    </row>
    <row r="1074">
      <c r="A1074" s="48" t="str">
        <f>IFERROR(__xludf.DUMMYFUNCTION("""COMPUTED_VALUE"""),"18. Mobilização Social")</f>
        <v>18. Mobilização Social</v>
      </c>
      <c r="B1074" s="54">
        <f>IFERROR(__xludf.DUMMYFUNCTION("""COMPUTED_VALUE"""),45629.0)</f>
        <v>45629</v>
      </c>
      <c r="C1074" s="48" t="str">
        <f>IFERROR(__xludf.DUMMYFUNCTION("""COMPUTED_VALUE"""),"2")</f>
        <v>2</v>
      </c>
    </row>
    <row r="1075">
      <c r="A1075" s="48" t="str">
        <f>IFERROR(__xludf.DUMMYFUNCTION("""COMPUTED_VALUE"""),"26. Outro")</f>
        <v>26. Outro</v>
      </c>
      <c r="B1075" s="54">
        <f>IFERROR(__xludf.DUMMYFUNCTION("""COMPUTED_VALUE"""),45630.0)</f>
        <v>45630</v>
      </c>
      <c r="C1075" s="48" t="str">
        <f>IFERROR(__xludf.DUMMYFUNCTION("""COMPUTED_VALUE"""),"1")</f>
        <v>1</v>
      </c>
    </row>
    <row r="1076">
      <c r="A1076" s="48" t="str">
        <f>IFERROR(__xludf.DUMMYFUNCTION("""COMPUTED_VALUE"""),"26. Outro")</f>
        <v>26. Outro</v>
      </c>
      <c r="B1076" s="54">
        <f>IFERROR(__xludf.DUMMYFUNCTION("""COMPUTED_VALUE"""),45630.0)</f>
        <v>45630</v>
      </c>
      <c r="C1076" s="48"/>
    </row>
    <row r="1077">
      <c r="A1077" s="48" t="str">
        <f>IFERROR(__xludf.DUMMYFUNCTION("""COMPUTED_VALUE"""),"6. CBH – Reunião Ordinária do Comitê")</f>
        <v>6. CBH – Reunião Ordinária do Comitê</v>
      </c>
      <c r="B1077" s="54">
        <f>IFERROR(__xludf.DUMMYFUNCTION("""COMPUTED_VALUE"""),45631.0)</f>
        <v>45631</v>
      </c>
      <c r="C1077" s="48" t="str">
        <f>IFERROR(__xludf.DUMMYFUNCTION("""COMPUTED_VALUE"""),"28")</f>
        <v>28</v>
      </c>
    </row>
    <row r="1078">
      <c r="A1078" s="48" t="str">
        <f>IFERROR(__xludf.DUMMYFUNCTION("""COMPUTED_VALUE"""),"20. Ação de Comunicação / Informação / Capacitação Externa")</f>
        <v>20. Ação de Comunicação / Informação / Capacitação Externa</v>
      </c>
      <c r="B1078" s="54">
        <f>IFERROR(__xludf.DUMMYFUNCTION("""COMPUTED_VALUE"""),45631.0)</f>
        <v>45631</v>
      </c>
      <c r="C1078" s="48"/>
    </row>
    <row r="1079">
      <c r="A1079" s="48" t="str">
        <f>IFERROR(__xludf.DUMMYFUNCTION("""COMPUTED_VALUE"""),"26. Outro")</f>
        <v>26. Outro</v>
      </c>
      <c r="B1079" s="54">
        <f>IFERROR(__xludf.DUMMYFUNCTION("""COMPUTED_VALUE"""),45631.0)</f>
        <v>45631</v>
      </c>
      <c r="C1079" s="48"/>
    </row>
    <row r="1080">
      <c r="A1080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1080" s="54">
        <f>IFERROR(__xludf.DUMMYFUNCTION("""COMPUTED_VALUE"""),45631.0)</f>
        <v>45631</v>
      </c>
      <c r="C1080" s="48" t="str">
        <f>IFERROR(__xludf.DUMMYFUNCTION("""COMPUTED_VALUE"""),"1")</f>
        <v>1</v>
      </c>
    </row>
    <row r="1081">
      <c r="A1081" s="48" t="str">
        <f>IFERROR(__xludf.DUMMYFUNCTION("""COMPUTED_VALUE"""),"25. Atividade Relacinada a Cobrança/Faturamento")</f>
        <v>25. Atividade Relacinada a Cobrança/Faturamento</v>
      </c>
      <c r="B1081" s="54">
        <f>IFERROR(__xludf.DUMMYFUNCTION("""COMPUTED_VALUE"""),45631.0)</f>
        <v>45631</v>
      </c>
      <c r="C1081" s="48"/>
    </row>
    <row r="1082">
      <c r="A1082" s="48" t="str">
        <f>IFERROR(__xludf.DUMMYFUNCTION("""COMPUTED_VALUE"""),"20. Ação de Comunicação / Informação / Capacitação Externa")</f>
        <v>20. Ação de Comunicação / Informação / Capacitação Externa</v>
      </c>
      <c r="B1082" s="54">
        <f>IFERROR(__xludf.DUMMYFUNCTION("""COMPUTED_VALUE"""),45631.0)</f>
        <v>45631</v>
      </c>
      <c r="C1082" s="48"/>
    </row>
    <row r="1083">
      <c r="A1083" s="48" t="str">
        <f>IFERROR(__xludf.DUMMYFUNCTION("""COMPUTED_VALUE"""),"20. Ação de Comunicação / Informação / Capacitação Externa")</f>
        <v>20. Ação de Comunicação / Informação / Capacitação Externa</v>
      </c>
      <c r="B1083" s="54">
        <f>IFERROR(__xludf.DUMMYFUNCTION("""COMPUTED_VALUE"""),45632.0)</f>
        <v>45632</v>
      </c>
      <c r="C1083" s="48"/>
    </row>
    <row r="1084">
      <c r="A1084" s="48" t="str">
        <f>IFERROR(__xludf.DUMMYFUNCTION("""COMPUTED_VALUE"""),"20. Ação de Comunicação / Informação / Capacitação Externa")</f>
        <v>20. Ação de Comunicação / Informação / Capacitação Externa</v>
      </c>
      <c r="B1084" s="54">
        <f>IFERROR(__xludf.DUMMYFUNCTION("""COMPUTED_VALUE"""),45632.0)</f>
        <v>45632</v>
      </c>
      <c r="C1084" s="48"/>
    </row>
    <row r="1085">
      <c r="A1085" s="48" t="str">
        <f>IFERROR(__xludf.DUMMYFUNCTION("""COMPUTED_VALUE"""),"20. Ação de Comunicação / Informação / Capacitação Externa")</f>
        <v>20. Ação de Comunicação / Informação / Capacitação Externa</v>
      </c>
      <c r="B1085" s="54">
        <f>IFERROR(__xludf.DUMMYFUNCTION("""COMPUTED_VALUE"""),45632.0)</f>
        <v>45632</v>
      </c>
      <c r="C1085" s="48"/>
    </row>
    <row r="1086">
      <c r="A1086" s="48" t="str">
        <f>IFERROR(__xludf.DUMMYFUNCTION("""COMPUTED_VALUE"""),"25. Atividade Relacinada a Cobrança/Faturamento")</f>
        <v>25. Atividade Relacinada a Cobrança/Faturamento</v>
      </c>
      <c r="B1086" s="54">
        <f>IFERROR(__xludf.DUMMYFUNCTION("""COMPUTED_VALUE"""),45632.0)</f>
        <v>45632</v>
      </c>
      <c r="C1086" s="48"/>
    </row>
    <row r="1087">
      <c r="A1087" s="48" t="str">
        <f>IFERROR(__xludf.DUMMYFUNCTION("""COMPUTED_VALUE"""),"20. Ação de Comunicação / Informação / Capacitação Externa")</f>
        <v>20. Ação de Comunicação / Informação / Capacitação Externa</v>
      </c>
      <c r="B1087" s="54">
        <f>IFERROR(__xludf.DUMMYFUNCTION("""COMPUTED_VALUE"""),45632.0)</f>
        <v>45632</v>
      </c>
      <c r="C1087" s="48"/>
    </row>
    <row r="1088">
      <c r="A1088" s="48" t="str">
        <f>IFERROR(__xludf.DUMMYFUNCTION("""COMPUTED_VALUE"""),"25. Atividade Relacinada a Cobrança/Faturamento")</f>
        <v>25. Atividade Relacinada a Cobrança/Faturamento</v>
      </c>
      <c r="B1088" s="54">
        <f>IFERROR(__xludf.DUMMYFUNCTION("""COMPUTED_VALUE"""),45635.0)</f>
        <v>45635</v>
      </c>
      <c r="C1088" s="48"/>
    </row>
    <row r="1089">
      <c r="A1089" s="48" t="str">
        <f>IFERROR(__xludf.DUMMYFUNCTION("""COMPUTED_VALUE"""),"20. Ação de Comunicação / Informação / Capacitação Externa")</f>
        <v>20. Ação de Comunicação / Informação / Capacitação Externa</v>
      </c>
      <c r="B1089" s="54">
        <f>IFERROR(__xludf.DUMMYFUNCTION("""COMPUTED_VALUE"""),45635.0)</f>
        <v>45635</v>
      </c>
      <c r="C1089" s="48"/>
    </row>
    <row r="1090">
      <c r="A1090" s="48" t="str">
        <f>IFERROR(__xludf.DUMMYFUNCTION("""COMPUTED_VALUE"""),"20. Ação de Comunicação / Informação / Capacitação Externa")</f>
        <v>20. Ação de Comunicação / Informação / Capacitação Externa</v>
      </c>
      <c r="B1090" s="54">
        <f>IFERROR(__xludf.DUMMYFUNCTION("""COMPUTED_VALUE"""),45635.0)</f>
        <v>45635</v>
      </c>
      <c r="C1090" s="48"/>
    </row>
    <row r="1091">
      <c r="A1091" s="48" t="str">
        <f>IFERROR(__xludf.DUMMYFUNCTION("""COMPUTED_VALUE"""),"25. Atividade Relacinada a Cobrança/Faturamento")</f>
        <v>25. Atividade Relacinada a Cobrança/Faturamento</v>
      </c>
      <c r="B1091" s="54">
        <f>IFERROR(__xludf.DUMMYFUNCTION("""COMPUTED_VALUE"""),45636.0)</f>
        <v>45636</v>
      </c>
      <c r="C1091" s="48"/>
    </row>
    <row r="1092">
      <c r="A1092" s="48" t="str">
        <f>IFERROR(__xludf.DUMMYFUNCTION("""COMPUTED_VALUE"""),"21. Projetos Especiais")</f>
        <v>21. Projetos Especiais</v>
      </c>
      <c r="B1092" s="54">
        <f>IFERROR(__xludf.DUMMYFUNCTION("""COMPUTED_VALUE"""),45636.0)</f>
        <v>45636</v>
      </c>
      <c r="C1092" s="48"/>
    </row>
    <row r="1093">
      <c r="A1093" s="48" t="str">
        <f>IFERROR(__xludf.DUMMYFUNCTION("""COMPUTED_VALUE"""),"20. Ação de Comunicação / Informação / Capacitação Externa")</f>
        <v>20. Ação de Comunicação / Informação / Capacitação Externa</v>
      </c>
      <c r="B1093" s="54">
        <f>IFERROR(__xludf.DUMMYFUNCTION("""COMPUTED_VALUE"""),45636.0)</f>
        <v>45636</v>
      </c>
      <c r="C1093" s="48"/>
    </row>
    <row r="1094">
      <c r="A1094" s="48" t="str">
        <f>IFERROR(__xludf.DUMMYFUNCTION("""COMPUTED_VALUE"""),"21. Projetos Especiais")</f>
        <v>21. Projetos Especiais</v>
      </c>
      <c r="B1094" s="54">
        <f>IFERROR(__xludf.DUMMYFUNCTION("""COMPUTED_VALUE"""),45636.0)</f>
        <v>45636</v>
      </c>
      <c r="C1094" s="48" t="str">
        <f>IFERROR(__xludf.DUMMYFUNCTION("""COMPUTED_VALUE"""),"1")</f>
        <v>1</v>
      </c>
    </row>
    <row r="1095">
      <c r="A1095" s="48" t="str">
        <f>IFERROR(__xludf.DUMMYFUNCTION("""COMPUTED_VALUE"""),"15. CG – Reunião de Comissão Gestora")</f>
        <v>15. CG – Reunião de Comissão Gestora</v>
      </c>
      <c r="B1095" s="54">
        <f>IFERROR(__xludf.DUMMYFUNCTION("""COMPUTED_VALUE"""),45637.0)</f>
        <v>45637</v>
      </c>
      <c r="C1095" s="48" t="str">
        <f>IFERROR(__xludf.DUMMYFUNCTION("""COMPUTED_VALUE"""),"2")</f>
        <v>2</v>
      </c>
    </row>
    <row r="1096">
      <c r="A1096" s="48" t="str">
        <f>IFERROR(__xludf.DUMMYFUNCTION("""COMPUTED_VALUE"""),"20. Ação de Comunicação / Informação / Capacitação Externa")</f>
        <v>20. Ação de Comunicação / Informação / Capacitação Externa</v>
      </c>
      <c r="B1096" s="54">
        <f>IFERROR(__xludf.DUMMYFUNCTION("""COMPUTED_VALUE"""),45637.0)</f>
        <v>45637</v>
      </c>
      <c r="C1096" s="48"/>
    </row>
    <row r="1097">
      <c r="A1097" s="48" t="str">
        <f>IFERROR(__xludf.DUMMYFUNCTION("""COMPUTED_VALUE"""),"20. Ação de Comunicação / Informação / Capacitação Externa")</f>
        <v>20. Ação de Comunicação / Informação / Capacitação Externa</v>
      </c>
      <c r="B1097" s="54">
        <f>IFERROR(__xludf.DUMMYFUNCTION("""COMPUTED_VALUE"""),45637.0)</f>
        <v>45637</v>
      </c>
      <c r="C1097" s="48"/>
    </row>
    <row r="1098">
      <c r="A1098" s="48" t="str">
        <f>IFERROR(__xludf.DUMMYFUNCTION("""COMPUTED_VALUE"""),"20. Ação de Comunicação / Informação / Capacitação Externa")</f>
        <v>20. Ação de Comunicação / Informação / Capacitação Externa</v>
      </c>
      <c r="B1098" s="54">
        <f>IFERROR(__xludf.DUMMYFUNCTION("""COMPUTED_VALUE"""),45637.0)</f>
        <v>45637</v>
      </c>
      <c r="C1098" s="48"/>
    </row>
    <row r="1099">
      <c r="A1099" s="48" t="str">
        <f>IFERROR(__xludf.DUMMYFUNCTION("""COMPUTED_VALUE"""),"20. Ação de Comunicação / Informação / Capacitação Externa")</f>
        <v>20. Ação de Comunicação / Informação / Capacitação Externa</v>
      </c>
      <c r="B1099" s="54">
        <f>IFERROR(__xludf.DUMMYFUNCTION("""COMPUTED_VALUE"""),45638.0)</f>
        <v>45638</v>
      </c>
      <c r="C1099" s="48"/>
    </row>
    <row r="1100">
      <c r="A1100" s="48" t="str">
        <f>IFERROR(__xludf.DUMMYFUNCTION("""COMPUTED_VALUE"""),"21. Projetos Especiais")</f>
        <v>21. Projetos Especiais</v>
      </c>
      <c r="B1100" s="54">
        <f>IFERROR(__xludf.DUMMYFUNCTION("""COMPUTED_VALUE"""),45638.0)</f>
        <v>45638</v>
      </c>
      <c r="C1100" s="48"/>
    </row>
    <row r="1101">
      <c r="A1101" s="48" t="str">
        <f>IFERROR(__xludf.DUMMYFUNCTION("""COMPUTED_VALUE"""),"26. Outro")</f>
        <v>26. Outro</v>
      </c>
      <c r="B1101" s="54">
        <f>IFERROR(__xludf.DUMMYFUNCTION("""COMPUTED_VALUE"""),45638.0)</f>
        <v>45638</v>
      </c>
      <c r="C1101" s="48"/>
    </row>
    <row r="1102">
      <c r="A1102" s="48" t="str">
        <f>IFERROR(__xludf.DUMMYFUNCTION("""COMPUTED_VALUE"""),"20. Ação de Comunicação / Informação / Capacitação Externa")</f>
        <v>20. Ação de Comunicação / Informação / Capacitação Externa</v>
      </c>
      <c r="B1102" s="54">
        <f>IFERROR(__xludf.DUMMYFUNCTION("""COMPUTED_VALUE"""),45638.0)</f>
        <v>45638</v>
      </c>
      <c r="C1102" s="48"/>
    </row>
    <row r="1103">
      <c r="A1103" s="48" t="str">
        <f>IFERROR(__xludf.DUMMYFUNCTION("""COMPUTED_VALUE"""),"26. Outro")</f>
        <v>26. Outro</v>
      </c>
      <c r="B1103" s="54">
        <f>IFERROR(__xludf.DUMMYFUNCTION("""COMPUTED_VALUE"""),45638.0)</f>
        <v>45638</v>
      </c>
      <c r="C1103" s="48"/>
    </row>
    <row r="1104">
      <c r="A1104" s="48" t="str">
        <f>IFERROR(__xludf.DUMMYFUNCTION("""COMPUTED_VALUE"""),"21. Projetos Especiais")</f>
        <v>21. Projetos Especiais</v>
      </c>
      <c r="B1104" s="54">
        <f>IFERROR(__xludf.DUMMYFUNCTION("""COMPUTED_VALUE"""),45639.0)</f>
        <v>45639</v>
      </c>
      <c r="C1104" s="48"/>
    </row>
    <row r="1105">
      <c r="A1105" s="48" t="str">
        <f>IFERROR(__xludf.DUMMYFUNCTION("""COMPUTED_VALUE"""),"26. Outro")</f>
        <v>26. Outro</v>
      </c>
      <c r="B1105" s="54">
        <f>IFERROR(__xludf.DUMMYFUNCTION("""COMPUTED_VALUE"""),45642.0)</f>
        <v>45642</v>
      </c>
      <c r="C1105" s="48" t="str">
        <f>IFERROR(__xludf.DUMMYFUNCTION("""COMPUTED_VALUE"""),"1")</f>
        <v>1</v>
      </c>
    </row>
    <row r="1106">
      <c r="A1106" s="48" t="str">
        <f>IFERROR(__xludf.DUMMYFUNCTION("""COMPUTED_VALUE"""),"12. CBH – Reunião do Fórum Cearense de Comitê")</f>
        <v>12. CBH – Reunião do Fórum Cearense de Comitê</v>
      </c>
      <c r="B1106" s="54">
        <f>IFERROR(__xludf.DUMMYFUNCTION("""COMPUTED_VALUE"""),45643.0)</f>
        <v>45643</v>
      </c>
      <c r="C1106" s="48" t="str">
        <f>IFERROR(__xludf.DUMMYFUNCTION("""COMPUTED_VALUE"""),"1")</f>
        <v>1</v>
      </c>
    </row>
    <row r="1107">
      <c r="A1107" s="48" t="str">
        <f>IFERROR(__xludf.DUMMYFUNCTION("""COMPUTED_VALUE"""),"20. Ação de Comunicação / Informação / Capacitação Externa")</f>
        <v>20. Ação de Comunicação / Informação / Capacitação Externa</v>
      </c>
      <c r="B1107" s="54">
        <f>IFERROR(__xludf.DUMMYFUNCTION("""COMPUTED_VALUE"""),45643.0)</f>
        <v>45643</v>
      </c>
      <c r="C1107" s="48"/>
    </row>
    <row r="1108">
      <c r="A1108" s="48" t="str">
        <f>IFERROR(__xludf.DUMMYFUNCTION("""COMPUTED_VALUE"""),"20. Ação de Comunicação / Informação / Capacitação Externa")</f>
        <v>20. Ação de Comunicação / Informação / Capacitação Externa</v>
      </c>
      <c r="B1108" s="54">
        <f>IFERROR(__xludf.DUMMYFUNCTION("""COMPUTED_VALUE"""),45643.0)</f>
        <v>45643</v>
      </c>
      <c r="C1108" s="48"/>
    </row>
    <row r="1109">
      <c r="A1109" s="48" t="str">
        <f>IFERROR(__xludf.DUMMYFUNCTION("""COMPUTED_VALUE"""),"20. Ação de Comunicação / Informação / Capacitação Externa")</f>
        <v>20. Ação de Comunicação / Informação / Capacitação Externa</v>
      </c>
      <c r="B1109" s="54">
        <f>IFERROR(__xludf.DUMMYFUNCTION("""COMPUTED_VALUE"""),45644.0)</f>
        <v>45644</v>
      </c>
      <c r="C1109" s="48"/>
    </row>
    <row r="1110">
      <c r="A1110" s="48" t="str">
        <f>IFERROR(__xludf.DUMMYFUNCTION("""COMPUTED_VALUE"""),"26. Outro")</f>
        <v>26. Outro</v>
      </c>
      <c r="B1110" s="54">
        <f>IFERROR(__xludf.DUMMYFUNCTION("""COMPUTED_VALUE"""),45645.0)</f>
        <v>45645</v>
      </c>
      <c r="C1110" s="48"/>
    </row>
    <row r="1111">
      <c r="A1111" s="48" t="str">
        <f>IFERROR(__xludf.DUMMYFUNCTION("""COMPUTED_VALUE"""),"20. Ação de Comunicação / Informação / Capacitação Externa")</f>
        <v>20. Ação de Comunicação / Informação / Capacitação Externa</v>
      </c>
      <c r="B1111" s="54">
        <f>IFERROR(__xludf.DUMMYFUNCTION("""COMPUTED_VALUE"""),45645.0)</f>
        <v>45645</v>
      </c>
      <c r="C1111" s="48"/>
    </row>
    <row r="1112">
      <c r="A1112" s="48" t="str">
        <f>IFERROR(__xludf.DUMMYFUNCTION("""COMPUTED_VALUE"""),"25. Atividade Relacinada a Cobrança/Faturamento")</f>
        <v>25. Atividade Relacinada a Cobrança/Faturamento</v>
      </c>
      <c r="B1112" s="54">
        <f>IFERROR(__xludf.DUMMYFUNCTION("""COMPUTED_VALUE"""),45646.0)</f>
        <v>45646</v>
      </c>
      <c r="C1112" s="48"/>
    </row>
    <row r="1113">
      <c r="A1113" s="48" t="str">
        <f>IFERROR(__xludf.DUMMYFUNCTION("""COMPUTED_VALUE"""),"21. Projetos Especiais")</f>
        <v>21. Projetos Especiais</v>
      </c>
      <c r="B1113" s="54">
        <f>IFERROR(__xludf.DUMMYFUNCTION("""COMPUTED_VALUE"""),45649.0)</f>
        <v>45649</v>
      </c>
      <c r="C1113" s="48"/>
    </row>
    <row r="1114">
      <c r="A1114" s="48" t="str">
        <f>IFERROR(__xludf.DUMMYFUNCTION("""COMPUTED_VALUE"""),"21. Projetos Especiais")</f>
        <v>21. Projetos Especiais</v>
      </c>
      <c r="B1114" s="54">
        <f>IFERROR(__xludf.DUMMYFUNCTION("""COMPUTED_VALUE"""),45649.0)</f>
        <v>45649</v>
      </c>
      <c r="C1114" s="48"/>
    </row>
    <row r="1115">
      <c r="A1115" s="48" t="str">
        <f>IFERROR(__xludf.DUMMYFUNCTION("""COMPUTED_VALUE"""),"26. Outro")</f>
        <v>26. Outro</v>
      </c>
      <c r="B1115" s="54">
        <f>IFERROR(__xludf.DUMMYFUNCTION("""COMPUTED_VALUE"""),45651.0)</f>
        <v>45651</v>
      </c>
      <c r="C1115" s="48"/>
    </row>
    <row r="1116">
      <c r="A1116" s="48" t="str">
        <f>IFERROR(__xludf.DUMMYFUNCTION("""COMPUTED_VALUE"""),"21. Projetos Especiais")</f>
        <v>21. Projetos Especiais</v>
      </c>
      <c r="B1116" s="54">
        <f>IFERROR(__xludf.DUMMYFUNCTION("""COMPUTED_VALUE"""),45652.0)</f>
        <v>45652</v>
      </c>
      <c r="C1116" s="48"/>
    </row>
    <row r="1117">
      <c r="A1117" s="48" t="str">
        <f>IFERROR(__xludf.DUMMYFUNCTION("""COMPUTED_VALUE"""),"20. Ação de Comunicação / Informação / Capacitação Externa")</f>
        <v>20. Ação de Comunicação / Informação / Capacitação Externa</v>
      </c>
      <c r="B1117" s="54">
        <f>IFERROR(__xludf.DUMMYFUNCTION("""COMPUTED_VALUE"""),45652.0)</f>
        <v>45652</v>
      </c>
      <c r="C1117" s="48"/>
    </row>
    <row r="1118">
      <c r="A1118" s="48" t="str">
        <f>IFERROR(__xludf.DUMMYFUNCTION("""COMPUTED_VALUE"""),"20. Ação de Comunicação / Informação / Capacitação Externa")</f>
        <v>20. Ação de Comunicação / Informação / Capacitação Externa</v>
      </c>
      <c r="B1118" s="54">
        <f>IFERROR(__xludf.DUMMYFUNCTION("""COMPUTED_VALUE"""),45652.0)</f>
        <v>45652</v>
      </c>
      <c r="C1118" s="48"/>
    </row>
    <row r="1119">
      <c r="A1119" s="48" t="str">
        <f>IFERROR(__xludf.DUMMYFUNCTION("""COMPUTED_VALUE"""),"20. Ação de Comunicação / Informação / Capacitação Externa")</f>
        <v>20. Ação de Comunicação / Informação / Capacitação Externa</v>
      </c>
      <c r="B1119" s="54">
        <f>IFERROR(__xludf.DUMMYFUNCTION("""COMPUTED_VALUE"""),45652.0)</f>
        <v>45652</v>
      </c>
      <c r="C1119" s="48"/>
    </row>
    <row r="1120">
      <c r="A1120" s="48" t="str">
        <f>IFERROR(__xludf.DUMMYFUNCTION("""COMPUTED_VALUE"""),"20. Ação de Comunicação / Informação / Capacitação Externa")</f>
        <v>20. Ação de Comunicação / Informação / Capacitação Externa</v>
      </c>
      <c r="B1120" s="54">
        <f>IFERROR(__xludf.DUMMYFUNCTION("""COMPUTED_VALUE"""),45652.0)</f>
        <v>45652</v>
      </c>
      <c r="C1120" s="48"/>
    </row>
    <row r="1121">
      <c r="A1121" s="48" t="str">
        <f>IFERROR(__xludf.DUMMYFUNCTION("""COMPUTED_VALUE"""),"26. Outro")</f>
        <v>26. Outro</v>
      </c>
      <c r="B1121" s="54">
        <f>IFERROR(__xludf.DUMMYFUNCTION("""COMPUTED_VALUE"""),45653.0)</f>
        <v>45653</v>
      </c>
      <c r="C1121" s="48"/>
    </row>
    <row r="1122">
      <c r="A1122" s="48" t="str">
        <f>IFERROR(__xludf.DUMMYFUNCTION("""COMPUTED_VALUE"""),"20. Ação de Comunicação / Informação / Capacitação Externa")</f>
        <v>20. Ação de Comunicação / Informação / Capacitação Externa</v>
      </c>
      <c r="B1122" s="54">
        <f>IFERROR(__xludf.DUMMYFUNCTION("""COMPUTED_VALUE"""),45653.0)</f>
        <v>45653</v>
      </c>
      <c r="C1122" s="48"/>
    </row>
    <row r="1123">
      <c r="A1123" s="48" t="str">
        <f>IFERROR(__xludf.DUMMYFUNCTION("""COMPUTED_VALUE"""),"26. Outro")</f>
        <v>26. Outro</v>
      </c>
      <c r="B1123" s="54">
        <f>IFERROR(__xludf.DUMMYFUNCTION("""COMPUTED_VALUE"""),45656.0)</f>
        <v>45656</v>
      </c>
      <c r="C1123" s="48"/>
    </row>
    <row r="1124">
      <c r="A1124" s="48" t="str">
        <f>IFERROR(__xludf.DUMMYFUNCTION("""COMPUTED_VALUE"""),"25. Atividade Relacinada a Cobrança/Faturamento")</f>
        <v>25. Atividade Relacinada a Cobrança/Faturamento</v>
      </c>
      <c r="B1124" s="54">
        <f>IFERROR(__xludf.DUMMYFUNCTION("""COMPUTED_VALUE"""),45656.0)</f>
        <v>45656</v>
      </c>
      <c r="C1124" s="48"/>
    </row>
    <row r="1125">
      <c r="A1125" s="48" t="str">
        <f>IFERROR(__xludf.DUMMYFUNCTION("""COMPUTED_VALUE"""),"20. Ação de Comunicação / Informação / Capacitação Externa")</f>
        <v>20. Ação de Comunicação / Informação / Capacitação Externa</v>
      </c>
      <c r="B1125" s="54">
        <f>IFERROR(__xludf.DUMMYFUNCTION("""COMPUTED_VALUE"""),45657.0)</f>
        <v>45657</v>
      </c>
      <c r="C1125" s="48"/>
    </row>
    <row r="1126">
      <c r="A1126" s="48" t="str">
        <f>IFERROR(__xludf.DUMMYFUNCTION("""COMPUTED_VALUE"""),"18. Mobilização Social")</f>
        <v>18. Mobilização Social</v>
      </c>
      <c r="B1126" s="54">
        <f>IFERROR(__xludf.DUMMYFUNCTION("""COMPUTED_VALUE"""),45664.0)</f>
        <v>45664</v>
      </c>
      <c r="C1126" s="48"/>
    </row>
    <row r="1127">
      <c r="A1127" s="48" t="str">
        <f>IFERROR(__xludf.DUMMYFUNCTION("""COMPUTED_VALUE"""),"18. Mobilização Social")</f>
        <v>18. Mobilização Social</v>
      </c>
      <c r="B1127" s="54">
        <f>IFERROR(__xludf.DUMMYFUNCTION("""COMPUTED_VALUE"""),45665.0)</f>
        <v>45665</v>
      </c>
      <c r="C1127" s="48" t="str">
        <f>IFERROR(__xludf.DUMMYFUNCTION("""COMPUTED_VALUE"""),"7")</f>
        <v>7</v>
      </c>
    </row>
    <row r="1128">
      <c r="A1128" s="48" t="str">
        <f>IFERROR(__xludf.DUMMYFUNCTION("""COMPUTED_VALUE"""),"18. Mobilização Social")</f>
        <v>18. Mobilização Social</v>
      </c>
      <c r="B1128" s="54">
        <f>IFERROR(__xludf.DUMMYFUNCTION("""COMPUTED_VALUE"""),45665.0)</f>
        <v>45665</v>
      </c>
      <c r="C1128" s="48" t="str">
        <f>IFERROR(__xludf.DUMMYFUNCTION("""COMPUTED_VALUE"""),"2")</f>
        <v>2</v>
      </c>
    </row>
    <row r="1129">
      <c r="A1129" s="48" t="str">
        <f>IFERROR(__xludf.DUMMYFUNCTION("""COMPUTED_VALUE"""),"24. Projetos ou atividades Específicos")</f>
        <v>24. Projetos ou atividades Específicos</v>
      </c>
      <c r="B1129" s="54">
        <f>IFERROR(__xludf.DUMMYFUNCTION("""COMPUTED_VALUE"""),45666.0)</f>
        <v>45666</v>
      </c>
      <c r="C1129" s="48"/>
    </row>
    <row r="1130">
      <c r="A1130" s="48" t="str">
        <f>IFERROR(__xludf.DUMMYFUNCTION("""COMPUTED_VALUE"""),"18. Mobilização Social")</f>
        <v>18. Mobilização Social</v>
      </c>
      <c r="B1130" s="54">
        <f>IFERROR(__xludf.DUMMYFUNCTION("""COMPUTED_VALUE"""),45666.0)</f>
        <v>45666</v>
      </c>
      <c r="C1130" s="48" t="str">
        <f>IFERROR(__xludf.DUMMYFUNCTION("""COMPUTED_VALUE"""),"2")</f>
        <v>2</v>
      </c>
    </row>
    <row r="1131">
      <c r="A1131" s="48" t="str">
        <f>IFERROR(__xludf.DUMMYFUNCTION("""COMPUTED_VALUE"""),"8. CBH – Reunião de Diretoria do CBH")</f>
        <v>8. CBH – Reunião de Diretoria do CBH</v>
      </c>
      <c r="B1131" s="54">
        <f>IFERROR(__xludf.DUMMYFUNCTION("""COMPUTED_VALUE"""),45671.0)</f>
        <v>45671</v>
      </c>
      <c r="C1131" s="48" t="str">
        <f>IFERROR(__xludf.DUMMYFUNCTION("""COMPUTED_VALUE"""),"4")</f>
        <v>4</v>
      </c>
    </row>
    <row r="1132">
      <c r="A1132" s="48" t="str">
        <f>IFERROR(__xludf.DUMMYFUNCTION("""COMPUTED_VALUE"""),"9. CBH – Reunião de Câmara Técnica, Câmara específica ou GT")</f>
        <v>9. CBH – Reunião de Câmara Técnica, Câmara específica ou GT</v>
      </c>
      <c r="B1132" s="54">
        <f>IFERROR(__xludf.DUMMYFUNCTION("""COMPUTED_VALUE"""),45672.0)</f>
        <v>45672</v>
      </c>
      <c r="C1132" s="48" t="str">
        <f>IFERROR(__xludf.DUMMYFUNCTION("""COMPUTED_VALUE"""),"4")</f>
        <v>4</v>
      </c>
    </row>
    <row r="1133">
      <c r="A1133" s="48" t="str">
        <f>IFERROR(__xludf.DUMMYFUNCTION("""COMPUTED_VALUE"""),"9. CBH – Reunião de Câmara Técnica, Câmara específica ou GT")</f>
        <v>9. CBH – Reunião de Câmara Técnica, Câmara específica ou GT</v>
      </c>
      <c r="B1133" s="54">
        <f>IFERROR(__xludf.DUMMYFUNCTION("""COMPUTED_VALUE"""),45673.0)</f>
        <v>45673</v>
      </c>
      <c r="C1133" s="48" t="str">
        <f>IFERROR(__xludf.DUMMYFUNCTION("""COMPUTED_VALUE"""),"7")</f>
        <v>7</v>
      </c>
    </row>
    <row r="1134">
      <c r="A1134" s="48" t="str">
        <f>IFERROR(__xludf.DUMMYFUNCTION("""COMPUTED_VALUE"""),"24. Projetos ou atividades Específicos")</f>
        <v>24. Projetos ou atividades Específicos</v>
      </c>
      <c r="B1134" s="54">
        <f>IFERROR(__xludf.DUMMYFUNCTION("""COMPUTED_VALUE"""),45674.0)</f>
        <v>45674</v>
      </c>
      <c r="C1134" s="48"/>
    </row>
    <row r="1135">
      <c r="A1135" s="48" t="str">
        <f>IFERROR(__xludf.DUMMYFUNCTION("""COMPUTED_VALUE"""),"15. CG – Reunião de Comissão Gestora")</f>
        <v>15. CG – Reunião de Comissão Gestora</v>
      </c>
      <c r="B1135" s="54">
        <f>IFERROR(__xludf.DUMMYFUNCTION("""COMPUTED_VALUE"""),45679.0)</f>
        <v>45679</v>
      </c>
      <c r="C1135" s="48"/>
    </row>
    <row r="1136">
      <c r="A1136" s="48" t="str">
        <f>IFERROR(__xludf.DUMMYFUNCTION("""COMPUTED_VALUE"""),"18. Mobilização Social")</f>
        <v>18. Mobilização Social</v>
      </c>
      <c r="B1136" s="54">
        <f>IFERROR(__xludf.DUMMYFUNCTION("""COMPUTED_VALUE"""),45685.0)</f>
        <v>45685</v>
      </c>
      <c r="C1136" s="48" t="str">
        <f>IFERROR(__xludf.DUMMYFUNCTION("""COMPUTED_VALUE"""),"8")</f>
        <v>8</v>
      </c>
    </row>
    <row r="1137">
      <c r="A1137" s="48" t="str">
        <f>IFERROR(__xludf.DUMMYFUNCTION("""COMPUTED_VALUE"""),"18. Mobilização Social")</f>
        <v>18. Mobilização Social</v>
      </c>
      <c r="B1137" s="54">
        <f>IFERROR(__xludf.DUMMYFUNCTION("""COMPUTED_VALUE"""),45686.0)</f>
        <v>45686</v>
      </c>
      <c r="C1137" s="48" t="str">
        <f>IFERROR(__xludf.DUMMYFUNCTION("""COMPUTED_VALUE"""),"6")</f>
        <v>6</v>
      </c>
    </row>
    <row r="1138">
      <c r="A1138" s="48" t="str">
        <f>IFERROR(__xludf.DUMMYFUNCTION("""COMPUTED_VALUE"""),"18. Mobilização Social")</f>
        <v>18. Mobilização Social</v>
      </c>
      <c r="B1138" s="54">
        <f>IFERROR(__xludf.DUMMYFUNCTION("""COMPUTED_VALUE"""),45687.0)</f>
        <v>45687</v>
      </c>
      <c r="C1138" s="48" t="str">
        <f>IFERROR(__xludf.DUMMYFUNCTION("""COMPUTED_VALUE"""),"7")</f>
        <v>7</v>
      </c>
    </row>
    <row r="1139">
      <c r="A1139" s="48" t="str">
        <f>IFERROR(__xludf.DUMMYFUNCTION("""COMPUTED_VALUE"""),"18. Mobilização Social")</f>
        <v>18. Mobilização Social</v>
      </c>
      <c r="B1139" s="54">
        <f>IFERROR(__xludf.DUMMYFUNCTION("""COMPUTED_VALUE"""),45687.0)</f>
        <v>45687</v>
      </c>
      <c r="C1139" s="48" t="str">
        <f>IFERROR(__xludf.DUMMYFUNCTION("""COMPUTED_VALUE"""),"4")</f>
        <v>4</v>
      </c>
    </row>
    <row r="1140">
      <c r="A1140" s="48" t="str">
        <f>IFERROR(__xludf.DUMMYFUNCTION("""COMPUTED_VALUE"""),"18. Mobilização Social")</f>
        <v>18. Mobilização Social</v>
      </c>
      <c r="B1140" s="54">
        <f>IFERROR(__xludf.DUMMYFUNCTION("""COMPUTED_VALUE"""),45688.0)</f>
        <v>45688</v>
      </c>
      <c r="C1140" s="48" t="str">
        <f>IFERROR(__xludf.DUMMYFUNCTION("""COMPUTED_VALUE"""),"6")</f>
        <v>6</v>
      </c>
    </row>
    <row r="1141">
      <c r="A1141" s="48" t="str">
        <f>IFERROR(__xludf.DUMMYFUNCTION("""COMPUTED_VALUE"""),"18. Mobilização Social")</f>
        <v>18. Mobilização Social</v>
      </c>
      <c r="B1141" s="54">
        <f>IFERROR(__xludf.DUMMYFUNCTION("""COMPUTED_VALUE"""),45692.0)</f>
        <v>45692</v>
      </c>
      <c r="C1141" s="48" t="str">
        <f>IFERROR(__xludf.DUMMYFUNCTION("""COMPUTED_VALUE"""),"5")</f>
        <v>5</v>
      </c>
    </row>
    <row r="1142">
      <c r="A1142" s="48" t="str">
        <f>IFERROR(__xludf.DUMMYFUNCTION("""COMPUTED_VALUE"""),"18. Mobilização Social")</f>
        <v>18. Mobilização Social</v>
      </c>
      <c r="B1142" s="54">
        <f>IFERROR(__xludf.DUMMYFUNCTION("""COMPUTED_VALUE"""),45693.0)</f>
        <v>45693</v>
      </c>
      <c r="C1142" s="48" t="str">
        <f>IFERROR(__xludf.DUMMYFUNCTION("""COMPUTED_VALUE"""),"4")</f>
        <v>4</v>
      </c>
    </row>
    <row r="1143">
      <c r="A1143" s="48" t="str">
        <f>IFERROR(__xludf.DUMMYFUNCTION("""COMPUTED_VALUE"""),"8. CBH – Reunião de Diretoria do CBH")</f>
        <v>8. CBH – Reunião de Diretoria do CBH</v>
      </c>
      <c r="B1143" s="54">
        <f>IFERROR(__xludf.DUMMYFUNCTION("""COMPUTED_VALUE"""),45694.0)</f>
        <v>45694</v>
      </c>
      <c r="C1143" s="48" t="str">
        <f>IFERROR(__xludf.DUMMYFUNCTION("""COMPUTED_VALUE"""),"3")</f>
        <v>3</v>
      </c>
    </row>
    <row r="1144">
      <c r="A1144" s="48" t="str">
        <f>IFERROR(__xludf.DUMMYFUNCTION("""COMPUTED_VALUE"""),"18. Mobilização Social")</f>
        <v>18. Mobilização Social</v>
      </c>
      <c r="B1144" s="54">
        <f>IFERROR(__xludf.DUMMYFUNCTION("""COMPUTED_VALUE"""),45694.0)</f>
        <v>45694</v>
      </c>
      <c r="C1144" s="48" t="str">
        <f>IFERROR(__xludf.DUMMYFUNCTION("""COMPUTED_VALUE"""),"4")</f>
        <v>4</v>
      </c>
    </row>
    <row r="1145">
      <c r="A1145" s="48" t="str">
        <f>IFERROR(__xludf.DUMMYFUNCTION("""COMPUTED_VALUE"""),"18. Mobilização Social")</f>
        <v>18. Mobilização Social</v>
      </c>
      <c r="B1145" s="54">
        <f>IFERROR(__xludf.DUMMYFUNCTION("""COMPUTED_VALUE"""),45695.0)</f>
        <v>45695</v>
      </c>
      <c r="C1145" s="48" t="str">
        <f>IFERROR(__xludf.DUMMYFUNCTION("""COMPUTED_VALUE"""),"4")</f>
        <v>4</v>
      </c>
    </row>
    <row r="1146">
      <c r="A1146" s="48" t="str">
        <f>IFERROR(__xludf.DUMMYFUNCTION("""COMPUTED_VALUE"""),"18. Mobilização Social")</f>
        <v>18. Mobilização Social</v>
      </c>
      <c r="B1146" s="54">
        <f>IFERROR(__xludf.DUMMYFUNCTION("""COMPUTED_VALUE"""),45698.0)</f>
        <v>45698</v>
      </c>
      <c r="C1146" s="48" t="str">
        <f>IFERROR(__xludf.DUMMYFUNCTION("""COMPUTED_VALUE"""),"2")</f>
        <v>2</v>
      </c>
    </row>
    <row r="1147">
      <c r="A1147" s="48" t="str">
        <f>IFERROR(__xludf.DUMMYFUNCTION("""COMPUTED_VALUE"""),"6. CBH – Reunião Ordinária do Comitê")</f>
        <v>6. CBH – Reunião Ordinária do Comitê</v>
      </c>
      <c r="B1147" s="54">
        <f>IFERROR(__xludf.DUMMYFUNCTION("""COMPUTED_VALUE"""),45700.0)</f>
        <v>45700</v>
      </c>
      <c r="C1147" s="48" t="str">
        <f>IFERROR(__xludf.DUMMYFUNCTION("""COMPUTED_VALUE"""),"33")</f>
        <v>33</v>
      </c>
    </row>
    <row r="1148">
      <c r="A1148" s="48" t="str">
        <f>IFERROR(__xludf.DUMMYFUNCTION("""COMPUTED_VALUE"""),"18. Mobilização Social")</f>
        <v>18. Mobilização Social</v>
      </c>
      <c r="B1148" s="54">
        <f>IFERROR(__xludf.DUMMYFUNCTION("""COMPUTED_VALUE"""),45701.0)</f>
        <v>45701</v>
      </c>
      <c r="C1148" s="48" t="str">
        <f>IFERROR(__xludf.DUMMYFUNCTION("""COMPUTED_VALUE"""),"2")</f>
        <v>2</v>
      </c>
    </row>
    <row r="1149">
      <c r="A1149" s="48" t="str">
        <f>IFERROR(__xludf.DUMMYFUNCTION("""COMPUTED_VALUE"""),"18. Mobilização Social")</f>
        <v>18. Mobilização Social</v>
      </c>
      <c r="B1149" s="54">
        <f>IFERROR(__xludf.DUMMYFUNCTION("""COMPUTED_VALUE"""),45702.0)</f>
        <v>45702</v>
      </c>
      <c r="C1149" s="48"/>
    </row>
    <row r="1150">
      <c r="A1150" s="48" t="str">
        <f>IFERROR(__xludf.DUMMYFUNCTION("""COMPUTED_VALUE"""),"18. Mobilização Social")</f>
        <v>18. Mobilização Social</v>
      </c>
      <c r="B1150" s="54">
        <f>IFERROR(__xludf.DUMMYFUNCTION("""COMPUTED_VALUE"""),45705.0)</f>
        <v>45705</v>
      </c>
      <c r="C1150" s="48" t="str">
        <f>IFERROR(__xludf.DUMMYFUNCTION("""COMPUTED_VALUE"""),"2")</f>
        <v>2</v>
      </c>
    </row>
    <row r="1151">
      <c r="A1151" s="48" t="str">
        <f>IFERROR(__xludf.DUMMYFUNCTION("""COMPUTED_VALUE"""),"9. CBH – Reunião de Câmara Técnica, Câmara específica ou GT")</f>
        <v>9. CBH – Reunião de Câmara Técnica, Câmara específica ou GT</v>
      </c>
      <c r="B1151" s="54">
        <f>IFERROR(__xludf.DUMMYFUNCTION("""COMPUTED_VALUE"""),45705.0)</f>
        <v>45705</v>
      </c>
      <c r="C1151" s="48" t="str">
        <f>IFERROR(__xludf.DUMMYFUNCTION("""COMPUTED_VALUE"""),"4")</f>
        <v>4</v>
      </c>
    </row>
    <row r="1152">
      <c r="A1152" s="48" t="str">
        <f>IFERROR(__xludf.DUMMYFUNCTION("""COMPUTED_VALUE"""),"8. CBH – Reunião de Diretoria do CBH")</f>
        <v>8. CBH – Reunião de Diretoria do CBH</v>
      </c>
      <c r="B1152" s="54">
        <f>IFERROR(__xludf.DUMMYFUNCTION("""COMPUTED_VALUE"""),45706.0)</f>
        <v>45706</v>
      </c>
      <c r="C1152" s="48" t="str">
        <f>IFERROR(__xludf.DUMMYFUNCTION("""COMPUTED_VALUE"""),"3")</f>
        <v>3</v>
      </c>
    </row>
    <row r="1153">
      <c r="A1153" s="48" t="str">
        <f>IFERROR(__xludf.DUMMYFUNCTION("""COMPUTED_VALUE"""),"9. CBH – Reunião de Câmara Técnica, Câmara específica ou GT")</f>
        <v>9. CBH – Reunião de Câmara Técnica, Câmara específica ou GT</v>
      </c>
      <c r="B1153" s="54">
        <f>IFERROR(__xludf.DUMMYFUNCTION("""COMPUTED_VALUE"""),45708.0)</f>
        <v>45708</v>
      </c>
      <c r="C1153" s="48" t="str">
        <f>IFERROR(__xludf.DUMMYFUNCTION("""COMPUTED_VALUE"""),"1")</f>
        <v>1</v>
      </c>
    </row>
    <row r="1154">
      <c r="A1154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1154" s="54">
        <f>IFERROR(__xludf.DUMMYFUNCTION("""COMPUTED_VALUE"""),45713.0)</f>
        <v>45713</v>
      </c>
      <c r="C1154" s="48" t="str">
        <f>IFERROR(__xludf.DUMMYFUNCTION("""COMPUTED_VALUE"""),"1")</f>
        <v>1</v>
      </c>
    </row>
    <row r="1155">
      <c r="A1155" s="48" t="str">
        <f>IFERROR(__xludf.DUMMYFUNCTION("""COMPUTED_VALUE"""),"3. Alocação de água – Reunião de Avaliação da Operação")</f>
        <v>3. Alocação de água – Reunião de Avaliação da Operação</v>
      </c>
      <c r="B1155" s="54">
        <f>IFERROR(__xludf.DUMMYFUNCTION("""COMPUTED_VALUE"""),45715.0)</f>
        <v>45715</v>
      </c>
      <c r="C1155" s="48" t="str">
        <f>IFERROR(__xludf.DUMMYFUNCTION("""COMPUTED_VALUE"""),"5")</f>
        <v>5</v>
      </c>
    </row>
    <row r="1156">
      <c r="A1156" s="48" t="str">
        <f>IFERROR(__xludf.DUMMYFUNCTION("""COMPUTED_VALUE"""),"3. Alocação de água – Reunião de Avaliação da Operação")</f>
        <v>3. Alocação de água – Reunião de Avaliação da Operação</v>
      </c>
      <c r="B1156" s="54">
        <f>IFERROR(__xludf.DUMMYFUNCTION("""COMPUTED_VALUE"""),45727.0)</f>
        <v>45727</v>
      </c>
      <c r="C1156" s="48" t="str">
        <f>IFERROR(__xludf.DUMMYFUNCTION("""COMPUTED_VALUE"""),"6")</f>
        <v>6</v>
      </c>
    </row>
    <row r="1157">
      <c r="A1157" s="48" t="str">
        <f>IFERROR(__xludf.DUMMYFUNCTION("""COMPUTED_VALUE"""),"18. Mobilização Social")</f>
        <v>18. Mobilização Social</v>
      </c>
      <c r="B1157" s="54">
        <f>IFERROR(__xludf.DUMMYFUNCTION("""COMPUTED_VALUE"""),45728.0)</f>
        <v>45728</v>
      </c>
      <c r="C1157" s="48"/>
    </row>
    <row r="1158">
      <c r="A1158" s="48" t="str">
        <f>IFERROR(__xludf.DUMMYFUNCTION("""COMPUTED_VALUE"""),"3. Alocação de água – Reunião de Avaliação da Operação")</f>
        <v>3. Alocação de água – Reunião de Avaliação da Operação</v>
      </c>
      <c r="B1158" s="54">
        <f>IFERROR(__xludf.DUMMYFUNCTION("""COMPUTED_VALUE"""),45729.0)</f>
        <v>45729</v>
      </c>
      <c r="C1158" s="48" t="str">
        <f>IFERROR(__xludf.DUMMYFUNCTION("""COMPUTED_VALUE"""),"7")</f>
        <v>7</v>
      </c>
    </row>
    <row r="1159">
      <c r="A1159" s="48" t="str">
        <f>IFERROR(__xludf.DUMMYFUNCTION("""COMPUTED_VALUE"""),"18. Mobilização Social")</f>
        <v>18. Mobilização Social</v>
      </c>
      <c r="B1159" s="54">
        <f>IFERROR(__xludf.DUMMYFUNCTION("""COMPUTED_VALUE"""),45730.0)</f>
        <v>45730</v>
      </c>
      <c r="C1159" s="48" t="str">
        <f>IFERROR(__xludf.DUMMYFUNCTION("""COMPUTED_VALUE"""),"4")</f>
        <v>4</v>
      </c>
    </row>
    <row r="1160">
      <c r="A1160" s="48" t="str">
        <f>IFERROR(__xludf.DUMMYFUNCTION("""COMPUTED_VALUE"""),"3. Alocação de água – Reunião de Avaliação da Operação")</f>
        <v>3. Alocação de água – Reunião de Avaliação da Operação</v>
      </c>
      <c r="B1160" s="54">
        <f>IFERROR(__xludf.DUMMYFUNCTION("""COMPUTED_VALUE"""),45733.0)</f>
        <v>45733</v>
      </c>
      <c r="C1160" s="48" t="str">
        <f>IFERROR(__xludf.DUMMYFUNCTION("""COMPUTED_VALUE"""),"6")</f>
        <v>6</v>
      </c>
    </row>
    <row r="1161">
      <c r="A1161" s="48" t="str">
        <f>IFERROR(__xludf.DUMMYFUNCTION("""COMPUTED_VALUE"""),"16. CG – Capacitação da Comissão Gestora")</f>
        <v>16. CG – Capacitação da Comissão Gestora</v>
      </c>
      <c r="B1161" s="54">
        <f>IFERROR(__xludf.DUMMYFUNCTION("""COMPUTED_VALUE"""),45734.0)</f>
        <v>45734</v>
      </c>
      <c r="C1161" s="48" t="str">
        <f>IFERROR(__xludf.DUMMYFUNCTION("""COMPUTED_VALUE"""),"6")</f>
        <v>6</v>
      </c>
    </row>
    <row r="1162">
      <c r="A1162" s="48" t="str">
        <f>IFERROR(__xludf.DUMMYFUNCTION("""COMPUTED_VALUE"""),"3. Alocação de água – Reunião de Avaliação da Operação")</f>
        <v>3. Alocação de água – Reunião de Avaliação da Operação</v>
      </c>
      <c r="B1162" s="54">
        <f>IFERROR(__xludf.DUMMYFUNCTION("""COMPUTED_VALUE"""),45734.0)</f>
        <v>45734</v>
      </c>
      <c r="C1162" s="48" t="str">
        <f>IFERROR(__xludf.DUMMYFUNCTION("""COMPUTED_VALUE"""),"6")</f>
        <v>6</v>
      </c>
    </row>
    <row r="1163">
      <c r="A1163" s="48" t="str">
        <f>IFERROR(__xludf.DUMMYFUNCTION("""COMPUTED_VALUE"""),"3. Alocação de água – Reunião de Avaliação da Operação")</f>
        <v>3. Alocação de água – Reunião de Avaliação da Operação</v>
      </c>
      <c r="B1163" s="54">
        <f>IFERROR(__xludf.DUMMYFUNCTION("""COMPUTED_VALUE"""),45736.0)</f>
        <v>45736</v>
      </c>
      <c r="C1163" s="48" t="str">
        <f>IFERROR(__xludf.DUMMYFUNCTION("""COMPUTED_VALUE"""),"5")</f>
        <v>5</v>
      </c>
    </row>
    <row r="1164">
      <c r="A1164" s="48" t="str">
        <f>IFERROR(__xludf.DUMMYFUNCTION("""COMPUTED_VALUE"""),"18. Mobilização Social")</f>
        <v>18. Mobilização Social</v>
      </c>
      <c r="B1164" s="54">
        <f>IFERROR(__xludf.DUMMYFUNCTION("""COMPUTED_VALUE"""),45736.0)</f>
        <v>45736</v>
      </c>
      <c r="C1164" s="48"/>
    </row>
    <row r="1165">
      <c r="A1165" s="48" t="str">
        <f>IFERROR(__xludf.DUMMYFUNCTION("""COMPUTED_VALUE"""),"18. Mobilização Social")</f>
        <v>18. Mobilização Social</v>
      </c>
      <c r="B1165" s="54">
        <f>IFERROR(__xludf.DUMMYFUNCTION("""COMPUTED_VALUE"""),45742.0)</f>
        <v>45742</v>
      </c>
      <c r="C1165" s="48"/>
    </row>
    <row r="1166">
      <c r="A1166" s="48" t="str">
        <f>IFERROR(__xludf.DUMMYFUNCTION("""COMPUTED_VALUE"""),"12. CBH – Reunião do Fórum Cearense de Comitê")</f>
        <v>12. CBH – Reunião do Fórum Cearense de Comitê</v>
      </c>
      <c r="B1166" s="54">
        <f>IFERROR(__xludf.DUMMYFUNCTION("""COMPUTED_VALUE"""),45743.0)</f>
        <v>45743</v>
      </c>
      <c r="C1166" s="48" t="str">
        <f>IFERROR(__xludf.DUMMYFUNCTION("""COMPUTED_VALUE"""),"1")</f>
        <v>1</v>
      </c>
    </row>
    <row r="1167">
      <c r="A1167" s="48" t="str">
        <f>IFERROR(__xludf.DUMMYFUNCTION("""COMPUTED_VALUE"""),"18. Mobilização Social")</f>
        <v>18. Mobilização Social</v>
      </c>
      <c r="B1167" s="54">
        <f>IFERROR(__xludf.DUMMYFUNCTION("""COMPUTED_VALUE"""),45744.0)</f>
        <v>45744</v>
      </c>
      <c r="C1167" s="48"/>
    </row>
    <row r="1168">
      <c r="A1168" s="48" t="str">
        <f>IFERROR(__xludf.DUMMYFUNCTION("""COMPUTED_VALUE"""),"10. CBH – Capacitação do Comitê")</f>
        <v>10. CBH – Capacitação do Comitê</v>
      </c>
      <c r="B1168" s="54">
        <f>IFERROR(__xludf.DUMMYFUNCTION("""COMPUTED_VALUE"""),45748.0)</f>
        <v>45748</v>
      </c>
      <c r="C1168" s="48" t="str">
        <f>IFERROR(__xludf.DUMMYFUNCTION("""COMPUTED_VALUE"""),"1")</f>
        <v>1</v>
      </c>
    </row>
    <row r="1169">
      <c r="A1169" s="48" t="str">
        <f>IFERROR(__xludf.DUMMYFUNCTION("""COMPUTED_VALUE"""),"18. Mobilização Social")</f>
        <v>18. Mobilização Social</v>
      </c>
      <c r="B1169" s="54">
        <f>IFERROR(__xludf.DUMMYFUNCTION("""COMPUTED_VALUE"""),45749.0)</f>
        <v>45749</v>
      </c>
      <c r="C1169" s="48"/>
    </row>
    <row r="1170">
      <c r="A1170" s="48" t="str">
        <f>IFERROR(__xludf.DUMMYFUNCTION("""COMPUTED_VALUE"""),"8. CBH – Reunião de Diretoria do CBH")</f>
        <v>8. CBH – Reunião de Diretoria do CBH</v>
      </c>
      <c r="B1170" s="54">
        <f>IFERROR(__xludf.DUMMYFUNCTION("""COMPUTED_VALUE"""),45755.0)</f>
        <v>45755</v>
      </c>
      <c r="C1170" s="48" t="str">
        <f>IFERROR(__xludf.DUMMYFUNCTION("""COMPUTED_VALUE"""),"4")</f>
        <v>4</v>
      </c>
    </row>
    <row r="1171">
      <c r="A1171" s="48" t="str">
        <f>IFERROR(__xludf.DUMMYFUNCTION("""COMPUTED_VALUE"""),"10. CBH – Capacitação do Comitê")</f>
        <v>10. CBH – Capacitação do Comitê</v>
      </c>
      <c r="B1171" s="54">
        <f>IFERROR(__xludf.DUMMYFUNCTION("""COMPUTED_VALUE"""),45757.0)</f>
        <v>45757</v>
      </c>
      <c r="C1171" s="48" t="str">
        <f>IFERROR(__xludf.DUMMYFUNCTION("""COMPUTED_VALUE"""),"30")</f>
        <v>30</v>
      </c>
    </row>
    <row r="1172">
      <c r="A1172" s="48" t="str">
        <f>IFERROR(__xludf.DUMMYFUNCTION("""COMPUTED_VALUE"""),"3. Alocação de água – Reunião de Avaliação da Operação")</f>
        <v>3. Alocação de água – Reunião de Avaliação da Operação</v>
      </c>
      <c r="B1172" s="54">
        <f>IFERROR(__xludf.DUMMYFUNCTION("""COMPUTED_VALUE"""),45770.0)</f>
        <v>45770</v>
      </c>
      <c r="C1172" s="48"/>
    </row>
    <row r="1173">
      <c r="A1173" s="48" t="str">
        <f>IFERROR(__xludf.DUMMYFUNCTION("""COMPUTED_VALUE"""),"3. Alocação de água – Reunião de Avaliação da Operação")</f>
        <v>3. Alocação de água – Reunião de Avaliação da Operação</v>
      </c>
      <c r="B1173" s="54">
        <f>IFERROR(__xludf.DUMMYFUNCTION("""COMPUTED_VALUE"""),45770.0)</f>
        <v>45770</v>
      </c>
      <c r="C1173" s="48"/>
    </row>
    <row r="1174">
      <c r="A1174" s="48" t="str">
        <f>IFERROR(__xludf.DUMMYFUNCTION("""COMPUTED_VALUE"""),"3. Alocação de água – Reunião de Avaliação da Operação")</f>
        <v>3. Alocação de água – Reunião de Avaliação da Operação</v>
      </c>
      <c r="B1174" s="54">
        <f>IFERROR(__xludf.DUMMYFUNCTION("""COMPUTED_VALUE"""),45771.0)</f>
        <v>45771</v>
      </c>
      <c r="C1174" s="48"/>
    </row>
    <row r="1175">
      <c r="A1175" s="48" t="str">
        <f>IFERROR(__xludf.DUMMYFUNCTION("""COMPUTED_VALUE"""),"3. Alocação de água – Reunião de Avaliação da Operação")</f>
        <v>3. Alocação de água – Reunião de Avaliação da Operação</v>
      </c>
      <c r="B1175" s="54">
        <f>IFERROR(__xludf.DUMMYFUNCTION("""COMPUTED_VALUE"""),45771.0)</f>
        <v>45771</v>
      </c>
      <c r="C1175" s="48"/>
    </row>
    <row r="1176">
      <c r="A1176" s="48" t="str">
        <f>IFERROR(__xludf.DUMMYFUNCTION("""COMPUTED_VALUE"""),"17. CG – Apoio à Formação de CG nos reservatórios (e renovação)")</f>
        <v>17. CG – Apoio à Formação de CG nos reservatórios (e renovação)</v>
      </c>
      <c r="B1176" s="54">
        <f>IFERROR(__xludf.DUMMYFUNCTION("""COMPUTED_VALUE"""),45782.0)</f>
        <v>45782</v>
      </c>
      <c r="C1176" s="48"/>
    </row>
    <row r="1177">
      <c r="A1177" s="48" t="str">
        <f>IFERROR(__xludf.DUMMYFUNCTION("""COMPUTED_VALUE"""),"12. CBH – Reunião do Fórum Cearense de Comitê")</f>
        <v>12. CBH – Reunião do Fórum Cearense de Comitê</v>
      </c>
      <c r="B1177" s="54">
        <f>IFERROR(__xludf.DUMMYFUNCTION("""COMPUTED_VALUE"""),45783.0)</f>
        <v>45783</v>
      </c>
      <c r="C1177" s="48" t="str">
        <f>IFERROR(__xludf.DUMMYFUNCTION("""COMPUTED_VALUE"""),"1")</f>
        <v>1</v>
      </c>
    </row>
    <row r="1178">
      <c r="A1178" s="48" t="str">
        <f>IFERROR(__xludf.DUMMYFUNCTION("""COMPUTED_VALUE"""),"25. Atividade Relacinada a Cobrança/Faturamento")</f>
        <v>25. Atividade Relacinada a Cobrança/Faturamento</v>
      </c>
      <c r="B1178" s="54">
        <f>IFERROR(__xludf.DUMMYFUNCTION("""COMPUTED_VALUE"""),45784.0)</f>
        <v>45784</v>
      </c>
      <c r="C1178" s="48"/>
    </row>
    <row r="1179">
      <c r="A1179" s="48" t="str">
        <f>IFERROR(__xludf.DUMMYFUNCTION("""COMPUTED_VALUE"""),"8. CBH – Reunião de Diretoria do CBH")</f>
        <v>8. CBH – Reunião de Diretoria do CBH</v>
      </c>
      <c r="B1179" s="54">
        <f>IFERROR(__xludf.DUMMYFUNCTION("""COMPUTED_VALUE"""),45785.0)</f>
        <v>45785</v>
      </c>
      <c r="C1179" s="48" t="str">
        <f>IFERROR(__xludf.DUMMYFUNCTION("""COMPUTED_VALUE"""),"4")</f>
        <v>4</v>
      </c>
    </row>
    <row r="1180">
      <c r="A1180" s="48" t="str">
        <f>IFERROR(__xludf.DUMMYFUNCTION("""COMPUTED_VALUE"""),"25. Atividade Relacinada a Cobrança/Faturamento")</f>
        <v>25. Atividade Relacinada a Cobrança/Faturamento</v>
      </c>
      <c r="B1180" s="54">
        <f>IFERROR(__xludf.DUMMYFUNCTION("""COMPUTED_VALUE"""),45785.0)</f>
        <v>45785</v>
      </c>
      <c r="C1180" s="48"/>
    </row>
    <row r="1181">
      <c r="A1181" s="48" t="str">
        <f>IFERROR(__xludf.DUMMYFUNCTION("""COMPUTED_VALUE"""),"25. Atividade Relacinada a Cobrança/Faturamento")</f>
        <v>25. Atividade Relacinada a Cobrança/Faturamento</v>
      </c>
      <c r="B1181" s="54">
        <f>IFERROR(__xludf.DUMMYFUNCTION("""COMPUTED_VALUE"""),45786.0)</f>
        <v>45786</v>
      </c>
      <c r="C1181" s="48"/>
    </row>
    <row r="1182">
      <c r="A1182" s="48" t="str">
        <f>IFERROR(__xludf.DUMMYFUNCTION("""COMPUTED_VALUE"""),"10. CBH – Capacitação do Comitê")</f>
        <v>10. CBH – Capacitação do Comitê</v>
      </c>
      <c r="B1182" s="54">
        <f>IFERROR(__xludf.DUMMYFUNCTION("""COMPUTED_VALUE"""),45799.0)</f>
        <v>45799</v>
      </c>
      <c r="C1182" s="48" t="str">
        <f>IFERROR(__xludf.DUMMYFUNCTION("""COMPUTED_VALUE"""),"17")</f>
        <v>17</v>
      </c>
    </row>
    <row r="1183">
      <c r="A1183" s="48" t="str">
        <f>IFERROR(__xludf.DUMMYFUNCTION("""COMPUTED_VALUE"""),"18. Mobilização Social")</f>
        <v>18. Mobilização Social</v>
      </c>
      <c r="B1183" s="54">
        <f>IFERROR(__xludf.DUMMYFUNCTION("""COMPUTED_VALUE"""),45810.0)</f>
        <v>45810</v>
      </c>
      <c r="C1183" s="48"/>
    </row>
    <row r="1184">
      <c r="A1184" s="48" t="str">
        <f>IFERROR(__xludf.DUMMYFUNCTION("""COMPUTED_VALUE"""),"18. Mobilização Social")</f>
        <v>18. Mobilização Social</v>
      </c>
      <c r="B1184" s="54">
        <f>IFERROR(__xludf.DUMMYFUNCTION("""COMPUTED_VALUE"""),45810.0)</f>
        <v>45810</v>
      </c>
      <c r="C1184" s="48"/>
    </row>
    <row r="1185">
      <c r="A1185" s="48" t="str">
        <f>IFERROR(__xludf.DUMMYFUNCTION("""COMPUTED_VALUE"""),"8. CBH – Reunião de Diretoria do CBH")</f>
        <v>8. CBH – Reunião de Diretoria do CBH</v>
      </c>
      <c r="B1185" s="54">
        <f>IFERROR(__xludf.DUMMYFUNCTION("""COMPUTED_VALUE"""),45812.0)</f>
        <v>45812</v>
      </c>
      <c r="C1185" s="48"/>
    </row>
    <row r="1186">
      <c r="A1186" s="48" t="str">
        <f>IFERROR(__xludf.DUMMYFUNCTION("""COMPUTED_VALUE"""),"25. Atividade Relacinada a Cobrança/Faturamento")</f>
        <v>25. Atividade Relacinada a Cobrança/Faturamento</v>
      </c>
      <c r="B1186" s="54">
        <f>IFERROR(__xludf.DUMMYFUNCTION("""COMPUTED_VALUE"""),45813.0)</f>
        <v>45813</v>
      </c>
      <c r="C1186" s="48"/>
    </row>
    <row r="1187">
      <c r="A1187" s="48" t="str">
        <f>IFERROR(__xludf.DUMMYFUNCTION("""COMPUTED_VALUE"""),"18. Mobilização Social")</f>
        <v>18. Mobilização Social</v>
      </c>
      <c r="B1187" s="54">
        <f>IFERROR(__xludf.DUMMYFUNCTION("""COMPUTED_VALUE"""),45814.0)</f>
        <v>45814</v>
      </c>
      <c r="C1187" s="48"/>
    </row>
    <row r="1188">
      <c r="A1188" s="48" t="str">
        <f>IFERROR(__xludf.DUMMYFUNCTION("""COMPUTED_VALUE"""),"25. Atividade Relacinada a Cobrança/Faturamento")</f>
        <v>25. Atividade Relacinada a Cobrança/Faturamento</v>
      </c>
      <c r="B1188" s="54">
        <f>IFERROR(__xludf.DUMMYFUNCTION("""COMPUTED_VALUE"""),45814.0)</f>
        <v>45814</v>
      </c>
      <c r="C1188" s="48"/>
    </row>
    <row r="1189">
      <c r="A1189" s="48" t="str">
        <f>IFERROR(__xludf.DUMMYFUNCTION("""COMPUTED_VALUE"""),"20. Ação de Comunicação / Informação / Capacitação Externa")</f>
        <v>20. Ação de Comunicação / Informação / Capacitação Externa</v>
      </c>
      <c r="B1189" s="54">
        <f>IFERROR(__xludf.DUMMYFUNCTION("""COMPUTED_VALUE"""),45818.0)</f>
        <v>45818</v>
      </c>
      <c r="C1189" s="48"/>
    </row>
    <row r="1190">
      <c r="A1190" s="48" t="str">
        <f>IFERROR(__xludf.DUMMYFUNCTION("""COMPUTED_VALUE"""),"25. Atividade Relacinada a Cobrança/Faturamento")</f>
        <v>25. Atividade Relacinada a Cobrança/Faturamento</v>
      </c>
      <c r="B1190" s="54">
        <f>IFERROR(__xludf.DUMMYFUNCTION("""COMPUTED_VALUE"""),45818.0)</f>
        <v>45818</v>
      </c>
      <c r="C1190" s="48"/>
    </row>
    <row r="1191">
      <c r="A1191" s="48" t="str">
        <f>IFERROR(__xludf.DUMMYFUNCTION("""COMPUTED_VALUE"""),"25. Atividade Relacinada a Cobrança/Faturamento")</f>
        <v>25. Atividade Relacinada a Cobrança/Faturamento</v>
      </c>
      <c r="B1191" s="54">
        <f>IFERROR(__xludf.DUMMYFUNCTION("""COMPUTED_VALUE"""),45818.0)</f>
        <v>45818</v>
      </c>
      <c r="C1191" s="48"/>
    </row>
    <row r="1192">
      <c r="A1192" s="48" t="str">
        <f>IFERROR(__xludf.DUMMYFUNCTION("""COMPUTED_VALUE"""),"6. CBH – Reunião Ordinária do Comitê")</f>
        <v>6. CBH – Reunião Ordinária do Comitê</v>
      </c>
      <c r="B1192" s="54">
        <f>IFERROR(__xludf.DUMMYFUNCTION("""COMPUTED_VALUE"""),45820.0)</f>
        <v>45820</v>
      </c>
      <c r="C1192" s="48" t="str">
        <f>IFERROR(__xludf.DUMMYFUNCTION("""COMPUTED_VALUE"""),"37")</f>
        <v>37</v>
      </c>
    </row>
    <row r="1193">
      <c r="A1193" s="48" t="str">
        <f>IFERROR(__xludf.DUMMYFUNCTION("""COMPUTED_VALUE"""),"18. Mobilização Social")</f>
        <v>18. Mobilização Social</v>
      </c>
      <c r="B1193" s="54">
        <f>IFERROR(__xludf.DUMMYFUNCTION("""COMPUTED_VALUE"""),45824.0)</f>
        <v>45824</v>
      </c>
      <c r="C1193" s="48"/>
    </row>
    <row r="1194">
      <c r="A1194" s="48" t="str">
        <f>IFERROR(__xludf.DUMMYFUNCTION("""COMPUTED_VALUE"""),"18. Mobilização Social")</f>
        <v>18. Mobilização Social</v>
      </c>
      <c r="B1194" s="54">
        <f>IFERROR(__xludf.DUMMYFUNCTION("""COMPUTED_VALUE"""),45825.0)</f>
        <v>45825</v>
      </c>
      <c r="C1194" s="48"/>
    </row>
    <row r="1195">
      <c r="A1195" s="48" t="str">
        <f>IFERROR(__xludf.DUMMYFUNCTION("""COMPUTED_VALUE"""),"18. Mobilização Social")</f>
        <v>18. Mobilização Social</v>
      </c>
      <c r="B1195" s="54">
        <f>IFERROR(__xludf.DUMMYFUNCTION("""COMPUTED_VALUE"""),45826.0)</f>
        <v>45826</v>
      </c>
      <c r="C1195" s="48"/>
    </row>
    <row r="1196">
      <c r="A1196" s="48" t="str">
        <f>IFERROR(__xludf.DUMMYFUNCTION("""COMPUTED_VALUE"""),"18. Mobilização Social")</f>
        <v>18. Mobilização Social</v>
      </c>
      <c r="B1196" s="54">
        <f>IFERROR(__xludf.DUMMYFUNCTION("""COMPUTED_VALUE"""),45831.0)</f>
        <v>45831</v>
      </c>
      <c r="C1196" s="48"/>
    </row>
    <row r="1197">
      <c r="A1197" s="48" t="str">
        <f>IFERROR(__xludf.DUMMYFUNCTION("""COMPUTED_VALUE"""),"18. Mobilização Social")</f>
        <v>18. Mobilização Social</v>
      </c>
      <c r="B1197" s="54">
        <f>IFERROR(__xludf.DUMMYFUNCTION("""COMPUTED_VALUE"""),45832.0)</f>
        <v>45832</v>
      </c>
      <c r="C1197" s="48"/>
    </row>
    <row r="1198">
      <c r="A1198" s="48" t="str">
        <f>IFERROR(__xludf.DUMMYFUNCTION("""COMPUTED_VALUE"""),"12. CBH – Reunião do Fórum Cearense de Comitê")</f>
        <v>12. CBH – Reunião do Fórum Cearense de Comitê</v>
      </c>
      <c r="B1198" s="54">
        <f>IFERROR(__xludf.DUMMYFUNCTION("""COMPUTED_VALUE"""),45832.0)</f>
        <v>45832</v>
      </c>
      <c r="C1198" s="48" t="str">
        <f>IFERROR(__xludf.DUMMYFUNCTION("""COMPUTED_VALUE"""),"1")</f>
        <v>1</v>
      </c>
    </row>
    <row r="1199">
      <c r="A1199" s="48" t="str">
        <f>IFERROR(__xludf.DUMMYFUNCTION("""COMPUTED_VALUE"""),"18. Mobilização Social")</f>
        <v>18. Mobilização Social</v>
      </c>
      <c r="B1199" s="54">
        <f>IFERROR(__xludf.DUMMYFUNCTION("""COMPUTED_VALUE"""),45833.0)</f>
        <v>45833</v>
      </c>
      <c r="C1199" s="48"/>
    </row>
    <row r="1200">
      <c r="A1200" s="48" t="str">
        <f>IFERROR(__xludf.DUMMYFUNCTION("""COMPUTED_VALUE"""),"12. CBH – Reunião do Fórum Cearense de Comitê")</f>
        <v>12. CBH – Reunião do Fórum Cearense de Comitê</v>
      </c>
      <c r="B1200" s="54">
        <f>IFERROR(__xludf.DUMMYFUNCTION("""COMPUTED_VALUE"""),45833.0)</f>
        <v>45833</v>
      </c>
      <c r="C1200" s="48" t="str">
        <f>IFERROR(__xludf.DUMMYFUNCTION("""COMPUTED_VALUE"""),"1")</f>
        <v>1</v>
      </c>
    </row>
    <row r="1201">
      <c r="A1201" s="48" t="str">
        <f>IFERROR(__xludf.DUMMYFUNCTION("""COMPUTED_VALUE"""),"18. Mobilização Social")</f>
        <v>18. Mobilização Social</v>
      </c>
      <c r="B1201" s="54">
        <f>IFERROR(__xludf.DUMMYFUNCTION("""COMPUTED_VALUE"""),45834.0)</f>
        <v>45834</v>
      </c>
      <c r="C1201" s="48"/>
    </row>
    <row r="1202">
      <c r="A1202" s="48" t="str">
        <f>IFERROR(__xludf.DUMMYFUNCTION("""COMPUTED_VALUE"""),"26. Outro")</f>
        <v>26. Outro</v>
      </c>
      <c r="B1202" s="54">
        <f>IFERROR(__xludf.DUMMYFUNCTION("""COMPUTED_VALUE"""),45839.0)</f>
        <v>45839</v>
      </c>
      <c r="C1202" s="48" t="str">
        <f>IFERROR(__xludf.DUMMYFUNCTION("""COMPUTED_VALUE"""),"2")</f>
        <v>2</v>
      </c>
    </row>
    <row r="1203">
      <c r="A1203" s="48" t="str">
        <f>IFERROR(__xludf.DUMMYFUNCTION("""COMPUTED_VALUE"""),"1. Alocação de água – Reunião de Alocação Participativa")</f>
        <v>1. Alocação de água – Reunião de Alocação Participativa</v>
      </c>
      <c r="B1203" s="54">
        <f>IFERROR(__xludf.DUMMYFUNCTION("""COMPUTED_VALUE"""),45839.0)</f>
        <v>45839</v>
      </c>
      <c r="C1203" s="48" t="str">
        <f>IFERROR(__xludf.DUMMYFUNCTION("""COMPUTED_VALUE"""),"3")</f>
        <v>3</v>
      </c>
    </row>
    <row r="1204">
      <c r="A1204" s="48" t="str">
        <f>IFERROR(__xludf.DUMMYFUNCTION("""COMPUTED_VALUE"""),"17. CG – Apoio à Formação de CG nos reservatórios (e renovação)")</f>
        <v>17. CG – Apoio à Formação de CG nos reservatórios (e renovação)</v>
      </c>
      <c r="B1204" s="54">
        <f>IFERROR(__xludf.DUMMYFUNCTION("""COMPUTED_VALUE"""),45839.0)</f>
        <v>45839</v>
      </c>
      <c r="C1204" s="48" t="str">
        <f>IFERROR(__xludf.DUMMYFUNCTION("""COMPUTED_VALUE"""),"15")</f>
        <v>15</v>
      </c>
    </row>
    <row r="1205">
      <c r="A1205" s="48" t="str">
        <f>IFERROR(__xludf.DUMMYFUNCTION("""COMPUTED_VALUE"""),"1. Alocação de água – Reunião de Alocação Participativa")</f>
        <v>1. Alocação de água – Reunião de Alocação Participativa</v>
      </c>
      <c r="B1205" s="54">
        <f>IFERROR(__xludf.DUMMYFUNCTION("""COMPUTED_VALUE"""),45840.0)</f>
        <v>45840</v>
      </c>
      <c r="C1205" s="48"/>
    </row>
    <row r="1206">
      <c r="A1206" s="48" t="str">
        <f>IFERROR(__xludf.DUMMYFUNCTION("""COMPUTED_VALUE"""),"1. Alocação de água – Reunião de Alocação Participativa")</f>
        <v>1. Alocação de água – Reunião de Alocação Participativa</v>
      </c>
      <c r="B1206" s="54">
        <f>IFERROR(__xludf.DUMMYFUNCTION("""COMPUTED_VALUE"""),45840.0)</f>
        <v>45840</v>
      </c>
      <c r="C1206" s="48"/>
    </row>
    <row r="1207">
      <c r="A1207" s="48" t="str">
        <f>IFERROR(__xludf.DUMMYFUNCTION("""COMPUTED_VALUE"""),"1. Alocação de água – Reunião de Alocação Participativa")</f>
        <v>1. Alocação de água – Reunião de Alocação Participativa</v>
      </c>
      <c r="B1207" s="54">
        <f>IFERROR(__xludf.DUMMYFUNCTION("""COMPUTED_VALUE"""),45841.0)</f>
        <v>45841</v>
      </c>
      <c r="C1207" s="48"/>
    </row>
    <row r="1208">
      <c r="A1208" s="48" t="str">
        <f>IFERROR(__xludf.DUMMYFUNCTION("""COMPUTED_VALUE"""),"1. Alocação de água – Reunião de Alocação Participativa")</f>
        <v>1. Alocação de água – Reunião de Alocação Participativa</v>
      </c>
      <c r="B1208" s="54">
        <f>IFERROR(__xludf.DUMMYFUNCTION("""COMPUTED_VALUE"""),45841.0)</f>
        <v>45841</v>
      </c>
      <c r="C1208" s="48"/>
    </row>
    <row r="1209">
      <c r="A1209" s="48" t="str">
        <f>IFERROR(__xludf.DUMMYFUNCTION("""COMPUTED_VALUE"""),"1. Alocação de água – Reunião de Alocação Participativa")</f>
        <v>1. Alocação de água – Reunião de Alocação Participativa</v>
      </c>
      <c r="B1209" s="54">
        <f>IFERROR(__xludf.DUMMYFUNCTION("""COMPUTED_VALUE"""),45842.0)</f>
        <v>45842</v>
      </c>
      <c r="C1209" s="48"/>
    </row>
    <row r="1210">
      <c r="A1210" s="48" t="str">
        <f>IFERROR(__xludf.DUMMYFUNCTION("""COMPUTED_VALUE"""),"1. Alocação de água – Reunião de Alocação Participativa")</f>
        <v>1. Alocação de água – Reunião de Alocação Participativa</v>
      </c>
      <c r="B1210" s="54">
        <f>IFERROR(__xludf.DUMMYFUNCTION("""COMPUTED_VALUE"""),45845.0)</f>
        <v>45845</v>
      </c>
      <c r="C1210" s="48" t="str">
        <f>IFERROR(__xludf.DUMMYFUNCTION("""COMPUTED_VALUE"""),"8")</f>
        <v>8</v>
      </c>
    </row>
    <row r="1211">
      <c r="A1211" s="48" t="str">
        <f>IFERROR(__xludf.DUMMYFUNCTION("""COMPUTED_VALUE"""),"1. Alocação de água – Reunião de Alocação Participativa")</f>
        <v>1. Alocação de água – Reunião de Alocação Participativa</v>
      </c>
      <c r="B1211" s="54">
        <f>IFERROR(__xludf.DUMMYFUNCTION("""COMPUTED_VALUE"""),45846.0)</f>
        <v>45846</v>
      </c>
      <c r="C1211" s="48" t="str">
        <f>IFERROR(__xludf.DUMMYFUNCTION("""COMPUTED_VALUE"""),"3")</f>
        <v>3</v>
      </c>
    </row>
    <row r="1212">
      <c r="A1212" s="48" t="str">
        <f>IFERROR(__xludf.DUMMYFUNCTION("""COMPUTED_VALUE"""),"1. Alocação de água – Reunião de Alocação Participativa")</f>
        <v>1. Alocação de água – Reunião de Alocação Participativa</v>
      </c>
      <c r="B1212" s="54">
        <f>IFERROR(__xludf.DUMMYFUNCTION("""COMPUTED_VALUE"""),45847.0)</f>
        <v>45847</v>
      </c>
      <c r="C1212" s="48" t="str">
        <f>IFERROR(__xludf.DUMMYFUNCTION("""COMPUTED_VALUE"""),"3")</f>
        <v>3</v>
      </c>
    </row>
    <row r="1213">
      <c r="A1213" s="48" t="str">
        <f>IFERROR(__xludf.DUMMYFUNCTION("""COMPUTED_VALUE"""),"1. Alocação de água – Reunião de Alocação Participativa")</f>
        <v>1. Alocação de água – Reunião de Alocação Participativa</v>
      </c>
      <c r="B1213" s="54">
        <f>IFERROR(__xludf.DUMMYFUNCTION("""COMPUTED_VALUE"""),45848.0)</f>
        <v>45848</v>
      </c>
      <c r="C1213" s="48" t="str">
        <f>IFERROR(__xludf.DUMMYFUNCTION("""COMPUTED_VALUE"""),"6")</f>
        <v>6</v>
      </c>
    </row>
    <row r="1214">
      <c r="A1214" s="48" t="str">
        <f>IFERROR(__xludf.DUMMYFUNCTION("""COMPUTED_VALUE"""),"8. CBH – Reunião de Diretoria do CBH")</f>
        <v>8. CBH – Reunião de Diretoria do CBH</v>
      </c>
      <c r="B1214" s="54">
        <f>IFERROR(__xludf.DUMMYFUNCTION("""COMPUTED_VALUE"""),45860.0)</f>
        <v>45860</v>
      </c>
      <c r="C1214" s="48" t="str">
        <f>IFERROR(__xludf.DUMMYFUNCTION("""COMPUTED_VALUE"""),"3")</f>
        <v>3</v>
      </c>
    </row>
    <row r="1215">
      <c r="A1215" s="48" t="str">
        <f>IFERROR(__xludf.DUMMYFUNCTION("""COMPUTED_VALUE"""),"25. Atividade Relacinada a Cobrança/Faturamento")</f>
        <v>25. Atividade Relacinada a Cobrança/Faturamento</v>
      </c>
      <c r="B1215" s="54">
        <f>IFERROR(__xludf.DUMMYFUNCTION("""COMPUTED_VALUE"""),45862.0)</f>
        <v>45862</v>
      </c>
      <c r="C1215" s="48"/>
    </row>
    <row r="1216">
      <c r="A1216" s="48" t="str">
        <f>IFERROR(__xludf.DUMMYFUNCTION("""COMPUTED_VALUE"""),"18. Mobilização Social")</f>
        <v>18. Mobilização Social</v>
      </c>
      <c r="B1216" s="54">
        <f>IFERROR(__xludf.DUMMYFUNCTION("""COMPUTED_VALUE"""),45868.0)</f>
        <v>45868</v>
      </c>
      <c r="C1216" s="48"/>
    </row>
    <row r="1217">
      <c r="A1217" s="48" t="str">
        <f>IFERROR(__xludf.DUMMYFUNCTION("""COMPUTED_VALUE"""),"25. Atividade Relacinada a Cobrança/Faturamento")</f>
        <v>25. Atividade Relacinada a Cobrança/Faturamento</v>
      </c>
      <c r="B1217" s="54">
        <f>IFERROR(__xludf.DUMMYFUNCTION("""COMPUTED_VALUE"""),45873.0)</f>
        <v>45873</v>
      </c>
      <c r="C1217" s="48"/>
    </row>
    <row r="1218">
      <c r="A1218" s="48" t="str">
        <f>IFERROR(__xludf.DUMMYFUNCTION("""COMPUTED_VALUE"""),"25. Atividade Relacinada a Cobrança/Faturamento")</f>
        <v>25. Atividade Relacinada a Cobrança/Faturamento</v>
      </c>
      <c r="B1218" s="54">
        <f>IFERROR(__xludf.DUMMYFUNCTION("""COMPUTED_VALUE"""),45873.0)</f>
        <v>45873</v>
      </c>
      <c r="C1218" s="48"/>
    </row>
    <row r="1219">
      <c r="A1219" s="48" t="str">
        <f>IFERROR(__xludf.DUMMYFUNCTION("""COMPUTED_VALUE"""),"25. Atividade Relacinada a Cobrança/Faturamento")</f>
        <v>25. Atividade Relacinada a Cobrança/Faturamento</v>
      </c>
      <c r="B1219" s="54">
        <f>IFERROR(__xludf.DUMMYFUNCTION("""COMPUTED_VALUE"""),45874.0)</f>
        <v>45874</v>
      </c>
      <c r="C1219" s="48"/>
    </row>
    <row r="1220">
      <c r="A1220" s="48" t="str">
        <f>IFERROR(__xludf.DUMMYFUNCTION("""COMPUTED_VALUE"""),"25. Atividade Relacinada a Cobrança/Faturamento")</f>
        <v>25. Atividade Relacinada a Cobrança/Faturamento</v>
      </c>
      <c r="B1220" s="54">
        <f>IFERROR(__xludf.DUMMYFUNCTION("""COMPUTED_VALUE"""),45874.0)</f>
        <v>45874</v>
      </c>
      <c r="C1220" s="48"/>
    </row>
    <row r="1221">
      <c r="A1221" s="48" t="str">
        <f>IFERROR(__xludf.DUMMYFUNCTION("""COMPUTED_VALUE"""),"25. Atividade Relacinada a Cobrança/Faturamento")</f>
        <v>25. Atividade Relacinada a Cobrança/Faturamento</v>
      </c>
      <c r="B1221" s="54">
        <f>IFERROR(__xludf.DUMMYFUNCTION("""COMPUTED_VALUE"""),45875.0)</f>
        <v>45875</v>
      </c>
      <c r="C1221" s="48"/>
    </row>
    <row r="1222">
      <c r="A1222" s="48" t="str">
        <f>IFERROR(__xludf.DUMMYFUNCTION("""COMPUTED_VALUE"""),"25. Atividade Relacinada a Cobrança/Faturamento")</f>
        <v>25. Atividade Relacinada a Cobrança/Faturamento</v>
      </c>
      <c r="B1222" s="54">
        <f>IFERROR(__xludf.DUMMYFUNCTION("""COMPUTED_VALUE"""),45875.0)</f>
        <v>45875</v>
      </c>
      <c r="C1222" s="48"/>
    </row>
    <row r="1223">
      <c r="A1223" s="48" t="str">
        <f>IFERROR(__xludf.DUMMYFUNCTION("""COMPUTED_VALUE"""),"25. Atividade Relacinada a Cobrança/Faturamento")</f>
        <v>25. Atividade Relacinada a Cobrança/Faturamento</v>
      </c>
      <c r="B1223" s="54">
        <f>IFERROR(__xludf.DUMMYFUNCTION("""COMPUTED_VALUE"""),45876.0)</f>
        <v>45876</v>
      </c>
      <c r="C1223" s="48"/>
    </row>
    <row r="1224">
      <c r="A1224" s="48" t="str">
        <f>IFERROR(__xludf.DUMMYFUNCTION("""COMPUTED_VALUE"""),"7. CBH – Reunião Extraordinária do Comitê")</f>
        <v>7. CBH – Reunião Extraordinária do Comitê</v>
      </c>
      <c r="B1224" s="54">
        <f>IFERROR(__xludf.DUMMYFUNCTION("""COMPUTED_VALUE"""),45883.0)</f>
        <v>45883</v>
      </c>
      <c r="C1224" s="48" t="str">
        <f>IFERROR(__xludf.DUMMYFUNCTION("""COMPUTED_VALUE"""),"35")</f>
        <v>35</v>
      </c>
    </row>
    <row r="1225">
      <c r="A1225" s="48" t="str">
        <f>IFERROR(__xludf.DUMMYFUNCTION("""COMPUTED_VALUE"""),"10. CBH – Capacitação do Comitê")</f>
        <v>10. CBH – Capacitação do Comitê</v>
      </c>
      <c r="B1225" s="54">
        <f>IFERROR(__xludf.DUMMYFUNCTION("""COMPUTED_VALUE"""),45883.0)</f>
        <v>45883</v>
      </c>
      <c r="C1225" s="48" t="str">
        <f>IFERROR(__xludf.DUMMYFUNCTION("""COMPUTED_VALUE"""),"35")</f>
        <v>35</v>
      </c>
    </row>
    <row r="1226">
      <c r="A1226" s="48" t="str">
        <f>IFERROR(__xludf.DUMMYFUNCTION("""COMPUTED_VALUE"""),"8. CBH – Reunião de Diretoria do CBH")</f>
        <v>8. CBH – Reunião de Diretoria do CBH</v>
      </c>
      <c r="B1226" s="54">
        <f>IFERROR(__xludf.DUMMYFUNCTION("""COMPUTED_VALUE"""),45890.0)</f>
        <v>45890</v>
      </c>
      <c r="C1226" s="48"/>
    </row>
    <row r="1227">
      <c r="A1227" s="48" t="str">
        <f>IFERROR(__xludf.DUMMYFUNCTION("""COMPUTED_VALUE"""),"24. Projetos ou atividades Específicos")</f>
        <v>24. Projetos ou atividades Específicos</v>
      </c>
      <c r="B1227" s="54">
        <f>IFERROR(__xludf.DUMMYFUNCTION("""COMPUTED_VALUE"""),45902.0)</f>
        <v>45902</v>
      </c>
      <c r="C1227" s="48"/>
    </row>
    <row r="1228">
      <c r="A1228" s="48" t="str">
        <f>IFERROR(__xludf.DUMMYFUNCTION("""COMPUTED_VALUE"""),"25. Atividade Relacinada a Cobrança/Faturamento")</f>
        <v>25. Atividade Relacinada a Cobrança/Faturamento</v>
      </c>
      <c r="B1228" s="54">
        <f>IFERROR(__xludf.DUMMYFUNCTION("""COMPUTED_VALUE"""),45903.0)</f>
        <v>45903</v>
      </c>
      <c r="C1228" s="48"/>
    </row>
    <row r="1229">
      <c r="A1229" s="48" t="str">
        <f>IFERROR(__xludf.DUMMYFUNCTION("""COMPUTED_VALUE"""),"18. Mobilização Social")</f>
        <v>18. Mobilização Social</v>
      </c>
      <c r="B1229" s="54">
        <f>IFERROR(__xludf.DUMMYFUNCTION("""COMPUTED_VALUE"""),45904.0)</f>
        <v>45904</v>
      </c>
      <c r="C1229" s="48"/>
    </row>
    <row r="1230">
      <c r="A1230" s="48" t="str">
        <f>IFERROR(__xludf.DUMMYFUNCTION("""COMPUTED_VALUE"""),"25. Atividade Relacinada a Cobrança/Faturamento")</f>
        <v>25. Atividade Relacinada a Cobrança/Faturamento</v>
      </c>
      <c r="B1230" s="54">
        <f>IFERROR(__xludf.DUMMYFUNCTION("""COMPUTED_VALUE"""),45904.0)</f>
        <v>45904</v>
      </c>
      <c r="C1230" s="48"/>
    </row>
    <row r="1231">
      <c r="A1231" s="48" t="str">
        <f>IFERROR(__xludf.DUMMYFUNCTION("""COMPUTED_VALUE"""),"18. Mobilização Social")</f>
        <v>18. Mobilização Social</v>
      </c>
      <c r="B1231" s="54">
        <f>IFERROR(__xludf.DUMMYFUNCTION("""COMPUTED_VALUE"""),45905.0)</f>
        <v>45905</v>
      </c>
      <c r="C1231" s="48"/>
    </row>
    <row r="1232">
      <c r="A1232" s="48" t="str">
        <f>IFERROR(__xludf.DUMMYFUNCTION("""COMPUTED_VALUE"""),"25. Atividade Relacinada a Cobrança/Faturamento")</f>
        <v>25. Atividade Relacinada a Cobrança/Faturamento</v>
      </c>
      <c r="B1232" s="54">
        <f>IFERROR(__xludf.DUMMYFUNCTION("""COMPUTED_VALUE"""),45905.0)</f>
        <v>45905</v>
      </c>
      <c r="C1232" s="48"/>
    </row>
    <row r="1233">
      <c r="A1233" s="48" t="str">
        <f>IFERROR(__xludf.DUMMYFUNCTION("""COMPUTED_VALUE"""),"25. Atividade Relacinada a Cobrança/Faturamento")</f>
        <v>25. Atividade Relacinada a Cobrança/Faturamento</v>
      </c>
      <c r="B1233" s="54">
        <f>IFERROR(__xludf.DUMMYFUNCTION("""COMPUTED_VALUE"""),45908.0)</f>
        <v>45908</v>
      </c>
      <c r="C1233" s="48"/>
    </row>
    <row r="1234">
      <c r="A1234" s="48" t="str">
        <f>IFERROR(__xludf.DUMMYFUNCTION("""COMPUTED_VALUE"""),"6. CBH – Reunião Ordinária do Comitê")</f>
        <v>6. CBH – Reunião Ordinária do Comitê</v>
      </c>
      <c r="B1234" s="54">
        <f>IFERROR(__xludf.DUMMYFUNCTION("""COMPUTED_VALUE"""),45918.0)</f>
        <v>45918</v>
      </c>
      <c r="C1234" s="48" t="str">
        <f>IFERROR(__xludf.DUMMYFUNCTION("""COMPUTED_VALUE"""),"37")</f>
        <v>37</v>
      </c>
    </row>
    <row r="1235">
      <c r="A1235" s="48" t="str">
        <f>IFERROR(__xludf.DUMMYFUNCTION("""COMPUTED_VALUE"""),"10. CBH – Capacitação do Comitê")</f>
        <v>10. CBH – Capacitação do Comitê</v>
      </c>
      <c r="B1235" s="54">
        <f>IFERROR(__xludf.DUMMYFUNCTION("""COMPUTED_VALUE"""),45918.0)</f>
        <v>45918</v>
      </c>
      <c r="C1235" s="48" t="str">
        <f>IFERROR(__xludf.DUMMYFUNCTION("""COMPUTED_VALUE"""),"37")</f>
        <v>37</v>
      </c>
    </row>
    <row r="1236">
      <c r="A1236" s="48" t="str">
        <f>IFERROR(__xludf.DUMMYFUNCTION("""COMPUTED_VALUE"""),"24. Projetos ou atividades Específicos")</f>
        <v>24. Projetos ou atividades Específicos</v>
      </c>
      <c r="B1236" s="54">
        <f>IFERROR(__xludf.DUMMYFUNCTION("""COMPUTED_VALUE"""),45919.0)</f>
        <v>45919</v>
      </c>
      <c r="C1236" s="48" t="str">
        <f>IFERROR(__xludf.DUMMYFUNCTION("""COMPUTED_VALUE"""),"3")</f>
        <v>3</v>
      </c>
    </row>
    <row r="1237">
      <c r="A1237" s="48" t="str">
        <f>IFERROR(__xludf.DUMMYFUNCTION("""COMPUTED_VALUE"""),"24. Projetos ou atividades Específicos")</f>
        <v>24. Projetos ou atividades Específicos</v>
      </c>
      <c r="B1237" s="54">
        <f>IFERROR(__xludf.DUMMYFUNCTION("""COMPUTED_VALUE"""),45919.0)</f>
        <v>45919</v>
      </c>
      <c r="C1237" s="48" t="str">
        <f>IFERROR(__xludf.DUMMYFUNCTION("""COMPUTED_VALUE"""),"3")</f>
        <v>3</v>
      </c>
    </row>
    <row r="1238">
      <c r="A1238" s="48" t="str">
        <f>IFERROR(__xludf.DUMMYFUNCTION("""COMPUTED_VALUE"""),"12. CBH – Reunião do Fórum Cearense de Comitê")</f>
        <v>12. CBH – Reunião do Fórum Cearense de Comitê</v>
      </c>
      <c r="B1238" s="54">
        <f>IFERROR(__xludf.DUMMYFUNCTION("""COMPUTED_VALUE"""),45930.0)</f>
        <v>45930</v>
      </c>
      <c r="C1238" s="48" t="str">
        <f>IFERROR(__xludf.DUMMYFUNCTION("""COMPUTED_VALUE"""),"1")</f>
        <v>1</v>
      </c>
    </row>
    <row r="1239">
      <c r="A1239" s="48" t="str">
        <f>IFERROR(__xludf.DUMMYFUNCTION("""COMPUTED_VALUE"""),"2. Alocação de água – Reunião de Acompanhamento da Operação")</f>
        <v>2. Alocação de água – Reunião de Acompanhamento da Operação</v>
      </c>
      <c r="B1239" s="54">
        <f>IFERROR(__xludf.DUMMYFUNCTION("""COMPUTED_VALUE"""),45932.0)</f>
        <v>45932</v>
      </c>
      <c r="C1239" s="48" t="str">
        <f>IFERROR(__xludf.DUMMYFUNCTION("""COMPUTED_VALUE"""),"11")</f>
        <v>11</v>
      </c>
    </row>
    <row r="1240">
      <c r="A1240" s="48" t="str">
        <f>IFERROR(__xludf.DUMMYFUNCTION("""COMPUTED_VALUE"""),"17. CG – Apoio à Formação de CG nos reservatórios (e renovação)")</f>
        <v>17. CG – Apoio à Formação de CG nos reservatórios (e renovação)</v>
      </c>
      <c r="B1240" s="54">
        <f>IFERROR(__xludf.DUMMYFUNCTION("""COMPUTED_VALUE"""),45944.0)</f>
        <v>45944</v>
      </c>
      <c r="C1240" s="48" t="str">
        <f>IFERROR(__xludf.DUMMYFUNCTION("""COMPUTED_VALUE"""),"5")</f>
        <v>5</v>
      </c>
    </row>
    <row r="1241">
      <c r="A1241" s="48" t="str">
        <f>IFERROR(__xludf.DUMMYFUNCTION("""COMPUTED_VALUE"""),"10. CBH – Capacitação do Comitê")</f>
        <v>10. CBH – Capacitação do Comitê</v>
      </c>
      <c r="B1241" s="54">
        <f>IFERROR(__xludf.DUMMYFUNCTION("""COMPUTED_VALUE"""),45953.0)</f>
        <v>45953</v>
      </c>
      <c r="C1241" s="48" t="str">
        <f>IFERROR(__xludf.DUMMYFUNCTION("""COMPUTED_VALUE"""),"29")</f>
        <v>29</v>
      </c>
    </row>
    <row r="1242">
      <c r="A1242" s="48" t="str">
        <f>IFERROR(__xludf.DUMMYFUNCTION("""COMPUTED_VALUE"""),"24. Projetos ou atividades Específicos")</f>
        <v>24. Projetos ou atividades Específicos</v>
      </c>
      <c r="B1242" s="54">
        <f>IFERROR(__xludf.DUMMYFUNCTION("""COMPUTED_VALUE"""),45954.0)</f>
        <v>45954</v>
      </c>
      <c r="C1242" s="48" t="str">
        <f>IFERROR(__xludf.DUMMYFUNCTION("""COMPUTED_VALUE"""),"2")</f>
        <v>2</v>
      </c>
    </row>
    <row r="1243">
      <c r="A1243" s="48" t="str">
        <f>IFERROR(__xludf.DUMMYFUNCTION("""COMPUTED_VALUE"""),"2. Alocação de água – Reunião de Acompanhamento da Operação")</f>
        <v>2. Alocação de água – Reunião de Acompanhamento da Operação</v>
      </c>
      <c r="B1243" s="54">
        <f>IFERROR(__xludf.DUMMYFUNCTION("""COMPUTED_VALUE"""),45960.0)</f>
        <v>45960</v>
      </c>
      <c r="C1243" s="48" t="str">
        <f>IFERROR(__xludf.DUMMYFUNCTION("""COMPUTED_VALUE"""),"3")</f>
        <v>3</v>
      </c>
    </row>
    <row r="1244">
      <c r="A1244" s="48" t="str">
        <f>IFERROR(__xludf.DUMMYFUNCTION("""COMPUTED_VALUE"""),"17. CG – Apoio à Formação de CG nos reservatórios (e renovação)")</f>
        <v>17. CG – Apoio à Formação de CG nos reservatórios (e renovação)</v>
      </c>
      <c r="B1244" s="54">
        <f>IFERROR(__xludf.DUMMYFUNCTION("""COMPUTED_VALUE"""),45960.0)</f>
        <v>45960</v>
      </c>
      <c r="C1244" s="48" t="str">
        <f>IFERROR(__xludf.DUMMYFUNCTION("""COMPUTED_VALUE"""),"15")</f>
        <v>15</v>
      </c>
    </row>
    <row r="1245">
      <c r="A1245" s="48" t="str">
        <f>IFERROR(__xludf.DUMMYFUNCTION("""COMPUTED_VALUE"""),"8. CBH – Reunião de Diretoria do CBH")</f>
        <v>8. CBH – Reunião de Diretoria do CBH</v>
      </c>
      <c r="B1245" s="54">
        <f>IFERROR(__xludf.DUMMYFUNCTION("""COMPUTED_VALUE"""),45964.0)</f>
        <v>45964</v>
      </c>
      <c r="C1245" s="48" t="str">
        <f>IFERROR(__xludf.DUMMYFUNCTION("""COMPUTED_VALUE"""),"3")</f>
        <v>3</v>
      </c>
    </row>
    <row r="1246">
      <c r="A1246" s="48" t="str">
        <f>IFERROR(__xludf.DUMMYFUNCTION("""COMPUTED_VALUE"""),"25. Atividade Relacinada a Cobrança/Faturamento")</f>
        <v>25. Atividade Relacinada a Cobrança/Faturamento</v>
      </c>
      <c r="B1246" s="54">
        <f>IFERROR(__xludf.DUMMYFUNCTION("""COMPUTED_VALUE"""),45965.0)</f>
        <v>45965</v>
      </c>
      <c r="C1246" s="48"/>
    </row>
    <row r="1247">
      <c r="A1247" s="48" t="str">
        <f>IFERROR(__xludf.DUMMYFUNCTION("""COMPUTED_VALUE"""),"2. Alocação de água – Reunião de Acompanhamento da Operação")</f>
        <v>2. Alocação de água – Reunião de Acompanhamento da Operação</v>
      </c>
      <c r="B1247" s="54">
        <f>IFERROR(__xludf.DUMMYFUNCTION("""COMPUTED_VALUE"""),45971.0)</f>
        <v>45971</v>
      </c>
      <c r="C1247" s="48" t="str">
        <f>IFERROR(__xludf.DUMMYFUNCTION("""COMPUTED_VALUE"""),"10")</f>
        <v>10</v>
      </c>
    </row>
    <row r="1248">
      <c r="A1248" s="48" t="str">
        <f>IFERROR(__xludf.DUMMYFUNCTION("""COMPUTED_VALUE"""),"17. CG – Apoio à Formação de CG nos reservatórios (e renovação)")</f>
        <v>17. CG – Apoio à Formação de CG nos reservatórios (e renovação)</v>
      </c>
      <c r="B1248" s="54">
        <f>IFERROR(__xludf.DUMMYFUNCTION("""COMPUTED_VALUE"""),45971.0)</f>
        <v>45971</v>
      </c>
      <c r="C1248" s="48" t="str">
        <f>IFERROR(__xludf.DUMMYFUNCTION("""COMPUTED_VALUE"""),"10")</f>
        <v>10</v>
      </c>
    </row>
    <row r="1249">
      <c r="A1249" s="48" t="str">
        <f>IFERROR(__xludf.DUMMYFUNCTION("""COMPUTED_VALUE"""),"2. Alocação de água – Reunião de Acompanhamento da Operação")</f>
        <v>2. Alocação de água – Reunião de Acompanhamento da Operação</v>
      </c>
      <c r="B1249" s="54">
        <f>IFERROR(__xludf.DUMMYFUNCTION("""COMPUTED_VALUE"""),45972.0)</f>
        <v>45972</v>
      </c>
      <c r="C1249" s="48"/>
    </row>
    <row r="1250">
      <c r="A1250" s="48" t="str">
        <f>IFERROR(__xludf.DUMMYFUNCTION("""COMPUTED_VALUE"""),"7. CBH – Reunião Extraordinária do Comitê")</f>
        <v>7. CBH – Reunião Extraordinária do Comitê</v>
      </c>
      <c r="B1250" s="54">
        <f>IFERROR(__xludf.DUMMYFUNCTION("""COMPUTED_VALUE"""),45974.0)</f>
        <v>45974</v>
      </c>
      <c r="C1250" s="48" t="str">
        <f>IFERROR(__xludf.DUMMYFUNCTION("""COMPUTED_VALUE"""),"38")</f>
        <v>38</v>
      </c>
    </row>
    <row r="1251">
      <c r="A1251" s="48" t="str">
        <f>IFERROR(__xludf.DUMMYFUNCTION("""COMPUTED_VALUE"""),"10. CBH – Capacitação do Comitê")</f>
        <v>10. CBH – Capacitação do Comitê</v>
      </c>
      <c r="B1251" s="54">
        <f>IFERROR(__xludf.DUMMYFUNCTION("""COMPUTED_VALUE"""),45974.0)</f>
        <v>45974</v>
      </c>
      <c r="C1251" s="48" t="str">
        <f>IFERROR(__xludf.DUMMYFUNCTION("""COMPUTED_VALUE"""),"38")</f>
        <v>38</v>
      </c>
    </row>
    <row r="1252">
      <c r="A1252" s="48" t="str">
        <f>IFERROR(__xludf.DUMMYFUNCTION("""COMPUTED_VALUE"""),"2. Alocação de água – Reunião de Acompanhamento da Operação")</f>
        <v>2. Alocação de água – Reunião de Acompanhamento da Operação</v>
      </c>
      <c r="B1252" s="54">
        <f>IFERROR(__xludf.DUMMYFUNCTION("""COMPUTED_VALUE"""),45985.0)</f>
        <v>45985</v>
      </c>
      <c r="C1252" s="48"/>
    </row>
    <row r="1253">
      <c r="A1253" s="48" t="str">
        <f>IFERROR(__xludf.DUMMYFUNCTION("""COMPUTED_VALUE"""),"2. Alocação de água – Reunião de Acompanhamento da Operação")</f>
        <v>2. Alocação de água – Reunião de Acompanhamento da Operação</v>
      </c>
      <c r="B1253" s="54">
        <f>IFERROR(__xludf.DUMMYFUNCTION("""COMPUTED_VALUE"""),45986.0)</f>
        <v>45986</v>
      </c>
      <c r="C1253" s="48" t="str">
        <f>IFERROR(__xludf.DUMMYFUNCTION("""COMPUTED_VALUE"""),"11")</f>
        <v>11</v>
      </c>
    </row>
    <row r="1254">
      <c r="A1254" s="48" t="str">
        <f>IFERROR(__xludf.DUMMYFUNCTION("""COMPUTED_VALUE"""),"16. CG – Capacitação da Comissão Gestora")</f>
        <v>16. CG – Capacitação da Comissão Gestora</v>
      </c>
      <c r="B1254" s="54">
        <f>IFERROR(__xludf.DUMMYFUNCTION("""COMPUTED_VALUE"""),45986.0)</f>
        <v>45986</v>
      </c>
      <c r="C1254" s="48" t="str">
        <f>IFERROR(__xludf.DUMMYFUNCTION("""COMPUTED_VALUE"""),"11")</f>
        <v>11</v>
      </c>
    </row>
    <row r="1255">
      <c r="A1255" s="48" t="str">
        <f>IFERROR(__xludf.DUMMYFUNCTION("""COMPUTED_VALUE"""),"2. Alocação de água – Reunião de Acompanhamento da Operação")</f>
        <v>2. Alocação de água – Reunião de Acompanhamento da Operação</v>
      </c>
      <c r="B1255" s="54">
        <f>IFERROR(__xludf.DUMMYFUNCTION("""COMPUTED_VALUE"""),45987.0)</f>
        <v>45987</v>
      </c>
      <c r="C1255" s="48" t="str">
        <f>IFERROR(__xludf.DUMMYFUNCTION("""COMPUTED_VALUE"""),"19")</f>
        <v>19</v>
      </c>
    </row>
    <row r="1256">
      <c r="A1256" s="48" t="str">
        <f>IFERROR(__xludf.DUMMYFUNCTION("""COMPUTED_VALUE"""),"2. Alocação de água – Reunião de Acompanhamento da Operação")</f>
        <v>2. Alocação de água – Reunião de Acompanhamento da Operação</v>
      </c>
      <c r="B1256" s="54">
        <f>IFERROR(__xludf.DUMMYFUNCTION("""COMPUTED_VALUE"""),45988.0)</f>
        <v>45988</v>
      </c>
      <c r="C1256" s="48"/>
    </row>
    <row r="1257">
      <c r="A1257" s="48" t="str">
        <f>IFERROR(__xludf.DUMMYFUNCTION("""COMPUTED_VALUE"""),"6. CBH – Reunião Ordinária do Comitê")</f>
        <v>6. CBH – Reunião Ordinária do Comitê</v>
      </c>
      <c r="B1257" s="54">
        <f>IFERROR(__xludf.DUMMYFUNCTION("""COMPUTED_VALUE"""),45995.0)</f>
        <v>45995</v>
      </c>
      <c r="C1257" s="48" t="str">
        <f>IFERROR(__xludf.DUMMYFUNCTION("""COMPUTED_VALUE"""),"32")</f>
        <v>32</v>
      </c>
    </row>
    <row r="1258">
      <c r="A1258" s="48" t="str">
        <f>IFERROR(__xludf.DUMMYFUNCTION("""COMPUTED_VALUE"""),"18. Mobilização Social")</f>
        <v>18. Mobilização Social</v>
      </c>
      <c r="B1258" s="54">
        <f>IFERROR(__xludf.DUMMYFUNCTION("""COMPUTED_VALUE"""),46034.0)</f>
        <v>46034</v>
      </c>
      <c r="C1258" s="48"/>
    </row>
    <row r="1259">
      <c r="A1259" s="48" t="str">
        <f>IFERROR(__xludf.DUMMYFUNCTION("""COMPUTED_VALUE"""),"8. CBH – Reunião de Diretoria do CBH")</f>
        <v>8. CBH – Reunião de Diretoria do CBH</v>
      </c>
      <c r="B1259" s="54">
        <f>IFERROR(__xludf.DUMMYFUNCTION("""COMPUTED_VALUE"""),46037.0)</f>
        <v>46037</v>
      </c>
      <c r="C1259" s="48" t="str">
        <f>IFERROR(__xludf.DUMMYFUNCTION("""COMPUTED_VALUE"""),"4")</f>
        <v>4</v>
      </c>
    </row>
    <row r="1260">
      <c r="A1260" s="48" t="str">
        <f>IFERROR(__xludf.DUMMYFUNCTION("""COMPUTED_VALUE"""),"20. Ação de Comunicação / Informação / Capacitação Externa")</f>
        <v>20. Ação de Comunicação / Informação / Capacitação Externa</v>
      </c>
      <c r="B1260" s="54">
        <f>IFERROR(__xludf.DUMMYFUNCTION("""COMPUTED_VALUE"""),46037.0)</f>
        <v>46037</v>
      </c>
      <c r="C1260" s="48"/>
    </row>
    <row r="1261">
      <c r="A1261" s="48" t="str">
        <f>IFERROR(__xludf.DUMMYFUNCTION("""COMPUTED_VALUE"""),"18. Mobilização Social")</f>
        <v>18. Mobilização Social</v>
      </c>
      <c r="B1261" s="54">
        <f>IFERROR(__xludf.DUMMYFUNCTION("""COMPUTED_VALUE"""),46043.0)</f>
        <v>46043</v>
      </c>
      <c r="C1261" s="48"/>
    </row>
    <row r="1262">
      <c r="A1262" s="48" t="str">
        <f>IFERROR(__xludf.DUMMYFUNCTION("""COMPUTED_VALUE"""),"20. Ação de Comunicação / Informação / Capacitação Externa")</f>
        <v>20. Ação de Comunicação / Informação / Capacitação Externa</v>
      </c>
      <c r="B1262" s="54">
        <f>IFERROR(__xludf.DUMMYFUNCTION("""COMPUTED_VALUE"""),46045.0)</f>
        <v>46045</v>
      </c>
      <c r="C1262" s="48" t="str">
        <f>IFERROR(__xludf.DUMMYFUNCTION("""COMPUTED_VALUE"""),"1")</f>
        <v>1</v>
      </c>
    </row>
    <row r="1263">
      <c r="A1263" s="48" t="str">
        <f>IFERROR(__xludf.DUMMYFUNCTION("""COMPUTED_VALUE"""),"20. Ação de Comunicação / Informação / Capacitação Externa")</f>
        <v>20. Ação de Comunicação / Informação / Capacitação Externa</v>
      </c>
      <c r="B1263" s="54">
        <f>IFERROR(__xludf.DUMMYFUNCTION("""COMPUTED_VALUE"""),46048.0)</f>
        <v>46048</v>
      </c>
      <c r="C1263" s="48" t="str">
        <f>IFERROR(__xludf.DUMMYFUNCTION("""COMPUTED_VALUE"""),"1")</f>
        <v>1</v>
      </c>
    </row>
    <row r="1264">
      <c r="A1264" s="48" t="str">
        <f>IFERROR(__xludf.DUMMYFUNCTION("""COMPUTED_VALUE"""),"18. Mobilização Social")</f>
        <v>18. Mobilização Social</v>
      </c>
      <c r="B1264" s="54">
        <f>IFERROR(__xludf.DUMMYFUNCTION("""COMPUTED_VALUE"""),46052.0)</f>
        <v>46052</v>
      </c>
      <c r="C1264" s="48" t="str">
        <f>IFERROR(__xludf.DUMMYFUNCTION("""COMPUTED_VALUE"""),"4")</f>
        <v>4</v>
      </c>
    </row>
    <row r="1265">
      <c r="A1265" s="48" t="str">
        <f>IFERROR(__xludf.DUMMYFUNCTION("""COMPUTED_VALUE"""),"18. Mobilização Social")</f>
        <v>18. Mobilização Social</v>
      </c>
      <c r="B1265" s="54">
        <f>IFERROR(__xludf.DUMMYFUNCTION("""COMPUTED_VALUE"""),46056.0)</f>
        <v>46056</v>
      </c>
      <c r="C1265" s="48" t="str">
        <f>IFERROR(__xludf.DUMMYFUNCTION("""COMPUTED_VALUE"""),"6")</f>
        <v>6</v>
      </c>
    </row>
    <row r="1266">
      <c r="A1266" s="48" t="str">
        <f>IFERROR(__xludf.DUMMYFUNCTION("""COMPUTED_VALUE"""),"18. Mobilização Social")</f>
        <v>18. Mobilização Social</v>
      </c>
      <c r="B1266" s="54">
        <f>IFERROR(__xludf.DUMMYFUNCTION("""COMPUTED_VALUE"""),46056.0)</f>
        <v>46056</v>
      </c>
      <c r="C1266" s="48" t="str">
        <f>IFERROR(__xludf.DUMMYFUNCTION("""COMPUTED_VALUE"""),"2")</f>
        <v>2</v>
      </c>
    </row>
    <row r="1267">
      <c r="A1267" s="48" t="str">
        <f>IFERROR(__xludf.DUMMYFUNCTION("""COMPUTED_VALUE"""),"17. CG – Apoio à Formação de CG nos reservatórios (e renovação)")</f>
        <v>17. CG – Apoio à Formação de CG nos reservatórios (e renovação)</v>
      </c>
      <c r="B1267" s="54">
        <f>IFERROR(__xludf.DUMMYFUNCTION("""COMPUTED_VALUE"""),46056.0)</f>
        <v>46056</v>
      </c>
      <c r="C1267" s="48" t="str">
        <f>IFERROR(__xludf.DUMMYFUNCTION("""COMPUTED_VALUE"""),"6")</f>
        <v>6</v>
      </c>
    </row>
    <row r="1268">
      <c r="A1268" s="48" t="str">
        <f>IFERROR(__xludf.DUMMYFUNCTION("""COMPUTED_VALUE"""),"17. CG – Apoio à Formação de CG nos reservatórios (e renovação)")</f>
        <v>17. CG – Apoio à Formação de CG nos reservatórios (e renovação)</v>
      </c>
      <c r="B1268" s="54">
        <f>IFERROR(__xludf.DUMMYFUNCTION("""COMPUTED_VALUE"""),46056.0)</f>
        <v>46056</v>
      </c>
      <c r="C1268" s="48" t="str">
        <f>IFERROR(__xludf.DUMMYFUNCTION("""COMPUTED_VALUE"""),"2")</f>
        <v>2</v>
      </c>
    </row>
    <row r="1269">
      <c r="A1269" s="48" t="str">
        <f>IFERROR(__xludf.DUMMYFUNCTION("""COMPUTED_VALUE"""),"18. Mobilização Social")</f>
        <v>18. Mobilização Social</v>
      </c>
      <c r="B1269" s="54">
        <f>IFERROR(__xludf.DUMMYFUNCTION("""COMPUTED_VALUE"""),46062.0)</f>
        <v>46062</v>
      </c>
      <c r="C1269" s="48" t="str">
        <f>IFERROR(__xludf.DUMMYFUNCTION("""COMPUTED_VALUE"""),"18")</f>
        <v>18</v>
      </c>
    </row>
    <row r="1270">
      <c r="A1270" s="48" t="str">
        <f>IFERROR(__xludf.DUMMYFUNCTION("""COMPUTED_VALUE"""),"18. Mobilização Social")</f>
        <v>18. Mobilização Social</v>
      </c>
      <c r="B1270" s="54">
        <f>IFERROR(__xludf.DUMMYFUNCTION("""COMPUTED_VALUE"""),46063.0)</f>
        <v>46063</v>
      </c>
      <c r="C1270" s="48" t="str">
        <f>IFERROR(__xludf.DUMMYFUNCTION("""COMPUTED_VALUE"""),"15")</f>
        <v>15</v>
      </c>
    </row>
    <row r="1271">
      <c r="A1271" s="48" t="str">
        <f>IFERROR(__xludf.DUMMYFUNCTION("""COMPUTED_VALUE"""),"12. CBH – Reunião do Fórum Cearense de Comitê")</f>
        <v>12. CBH – Reunião do Fórum Cearense de Comitê</v>
      </c>
      <c r="B1271" s="54">
        <f>IFERROR(__xludf.DUMMYFUNCTION("""COMPUTED_VALUE"""),46063.0)</f>
        <v>46063</v>
      </c>
      <c r="C1271" s="48" t="str">
        <f>IFERROR(__xludf.DUMMYFUNCTION("""COMPUTED_VALUE"""),"1")</f>
        <v>1</v>
      </c>
    </row>
    <row r="1272">
      <c r="A1272" s="48" t="str">
        <f>IFERROR(__xludf.DUMMYFUNCTION("""COMPUTED_VALUE"""),"8. CBH – Reunião de Diretoria do CBH")</f>
        <v>8. CBH – Reunião de Diretoria do CBH</v>
      </c>
      <c r="B1272" s="54">
        <f>IFERROR(__xludf.DUMMYFUNCTION("""COMPUTED_VALUE"""),46065.0)</f>
        <v>46065</v>
      </c>
      <c r="C1272" s="48" t="str">
        <f>IFERROR(__xludf.DUMMYFUNCTION("""COMPUTED_VALUE"""),"3")</f>
        <v>3</v>
      </c>
    </row>
    <row r="1273">
      <c r="A1273" s="48" t="str">
        <f>IFERROR(__xludf.DUMMYFUNCTION("""COMPUTED_VALUE"""),"18. Mobilização Social")</f>
        <v>18. Mobilização Social</v>
      </c>
      <c r="B1273" s="54">
        <f>IFERROR(__xludf.DUMMYFUNCTION("""COMPUTED_VALUE"""),46065.0)</f>
        <v>46065</v>
      </c>
      <c r="C1273" s="48" t="str">
        <f>IFERROR(__xludf.DUMMYFUNCTION("""COMPUTED_VALUE"""),"19")</f>
        <v>19</v>
      </c>
    </row>
    <row r="1274">
      <c r="A1274" s="48" t="str">
        <f>IFERROR(__xludf.DUMMYFUNCTION("""COMPUTED_VALUE"""),"18. Mobilização Social")</f>
        <v>18. Mobilização Social</v>
      </c>
      <c r="B1274" s="54">
        <f>IFERROR(__xludf.DUMMYFUNCTION("""COMPUTED_VALUE"""),46066.0)</f>
        <v>46066</v>
      </c>
      <c r="C1274" s="48" t="str">
        <f>IFERROR(__xludf.DUMMYFUNCTION("""COMPUTED_VALUE"""),"15")</f>
        <v>15</v>
      </c>
    </row>
    <row r="1275">
      <c r="A1275" s="48" t="str">
        <f>IFERROR(__xludf.DUMMYFUNCTION("""COMPUTED_VALUE"""),"18. Mobilização Social")</f>
        <v>18. Mobilização Social</v>
      </c>
      <c r="B1275" s="54">
        <f>IFERROR(__xludf.DUMMYFUNCTION("""COMPUTED_VALUE"""),46073.0)</f>
        <v>46073</v>
      </c>
      <c r="C1275" s="48" t="str">
        <f>IFERROR(__xludf.DUMMYFUNCTION("""COMPUTED_VALUE"""),"3")</f>
        <v>3</v>
      </c>
    </row>
    <row r="1276">
      <c r="A1276" s="48" t="str">
        <f>IFERROR(__xludf.DUMMYFUNCTION("""COMPUTED_VALUE"""),"18. Mobilização Social")</f>
        <v>18. Mobilização Social</v>
      </c>
      <c r="B1276" s="54">
        <f>IFERROR(__xludf.DUMMYFUNCTION("""COMPUTED_VALUE"""),46076.0)</f>
        <v>46076</v>
      </c>
      <c r="C1276" s="48" t="str">
        <f>IFERROR(__xludf.DUMMYFUNCTION("""COMPUTED_VALUE"""),"3")</f>
        <v>3</v>
      </c>
    </row>
    <row r="1277">
      <c r="A1277" s="48" t="str">
        <f>IFERROR(__xludf.DUMMYFUNCTION("""COMPUTED_VALUE"""),"18. Mobilização Social")</f>
        <v>18. Mobilização Social</v>
      </c>
      <c r="B1277" s="54">
        <f>IFERROR(__xludf.DUMMYFUNCTION("""COMPUTED_VALUE"""),46077.0)</f>
        <v>46077</v>
      </c>
      <c r="C1277" s="48" t="str">
        <f>IFERROR(__xludf.DUMMYFUNCTION("""COMPUTED_VALUE"""),"13")</f>
        <v>13</v>
      </c>
    </row>
    <row r="1278">
      <c r="A1278" s="48" t="str">
        <f>IFERROR(__xludf.DUMMYFUNCTION("""COMPUTED_VALUE"""),"18. Mobilização Social")</f>
        <v>18. Mobilização Social</v>
      </c>
      <c r="B1278" s="54">
        <f>IFERROR(__xludf.DUMMYFUNCTION("""COMPUTED_VALUE"""),46078.0)</f>
        <v>46078</v>
      </c>
      <c r="C1278" s="48" t="str">
        <f>IFERROR(__xludf.DUMMYFUNCTION("""COMPUTED_VALUE"""),"10")</f>
        <v>10</v>
      </c>
    </row>
    <row r="1279">
      <c r="A1279" s="48" t="str">
        <f>IFERROR(__xludf.DUMMYFUNCTION("""COMPUTED_VALUE"""),"6. CBH – Reunião Ordinária do Comitê")</f>
        <v>6. CBH – Reunião Ordinária do Comitê</v>
      </c>
      <c r="B1279" s="54">
        <f>IFERROR(__xludf.DUMMYFUNCTION("""COMPUTED_VALUE"""),46079.0)</f>
        <v>46079</v>
      </c>
      <c r="C1279" s="48" t="str">
        <f>IFERROR(__xludf.DUMMYFUNCTION("""COMPUTED_VALUE"""),"34")</f>
        <v>34</v>
      </c>
    </row>
    <row r="1280">
      <c r="A1280" s="48" t="str">
        <f>IFERROR(__xludf.DUMMYFUNCTION("""COMPUTED_VALUE"""),"3. Alocação de água – Reunião de Avaliação da Operação")</f>
        <v>3. Alocação de água – Reunião de Avaliação da Operação</v>
      </c>
      <c r="B1280" s="54">
        <f>IFERROR(__xludf.DUMMYFUNCTION("""COMPUTED_VALUE"""),46083.0)</f>
        <v>46083</v>
      </c>
      <c r="C1280" s="48" t="str">
        <f>IFERROR(__xludf.DUMMYFUNCTION("""COMPUTED_VALUE"""),"0")</f>
        <v>0</v>
      </c>
    </row>
    <row r="1281">
      <c r="A1281" s="48" t="str">
        <f>IFERROR(__xludf.DUMMYFUNCTION("""COMPUTED_VALUE"""),"17. CG – Apoio à Formação de CG nos reservatórios (e renovação)")</f>
        <v>17. CG – Apoio à Formação de CG nos reservatórios (e renovação)</v>
      </c>
      <c r="B1281" s="54"/>
      <c r="C1281" s="48" t="str">
        <f>IFERROR(__xludf.DUMMYFUNCTION("""COMPUTED_VALUE"""),"15")</f>
        <v>15</v>
      </c>
    </row>
    <row r="1282">
      <c r="A1282" s="48" t="str">
        <f>IFERROR(__xludf.DUMMYFUNCTION("""COMPUTED_VALUE"""),"3. Alocação de água – Reunião de Avaliação da Operação")</f>
        <v>3. Alocação de água – Reunião de Avaliação da Operação</v>
      </c>
      <c r="B1282" s="54">
        <f>IFERROR(__xludf.DUMMYFUNCTION("""COMPUTED_VALUE"""),46084.0)</f>
        <v>46084</v>
      </c>
      <c r="C1282" s="48"/>
    </row>
    <row r="1283">
      <c r="A1283" s="48" t="str">
        <f>IFERROR(__xludf.DUMMYFUNCTION("""COMPUTED_VALUE"""),"17. CG – Apoio à Formação de CG nos reservatórios (e renovação)")</f>
        <v>17. CG – Apoio à Formação de CG nos reservatórios (e renovação)</v>
      </c>
      <c r="B1283" s="54">
        <f>IFERROR(__xludf.DUMMYFUNCTION("""COMPUTED_VALUE"""),46084.0)</f>
        <v>46084</v>
      </c>
      <c r="C1283" s="48" t="str">
        <f>IFERROR(__xludf.DUMMYFUNCTION("""COMPUTED_VALUE"""),"10")</f>
        <v>10</v>
      </c>
    </row>
    <row r="1284">
      <c r="A1284" s="48" t="str">
        <f>IFERROR(__xludf.DUMMYFUNCTION("""COMPUTED_VALUE"""),"3. Alocação de água – Reunião de Avaliação da Operação")</f>
        <v>3. Alocação de água – Reunião de Avaliação da Operação</v>
      </c>
      <c r="B1284" s="54">
        <f>IFERROR(__xludf.DUMMYFUNCTION("""COMPUTED_VALUE"""),46085.0)</f>
        <v>46085</v>
      </c>
      <c r="C1284" s="48" t="str">
        <f>IFERROR(__xludf.DUMMYFUNCTION("""COMPUTED_VALUE"""),"5")</f>
        <v>5</v>
      </c>
    </row>
    <row r="1285">
      <c r="A1285" s="48" t="str">
        <f>IFERROR(__xludf.DUMMYFUNCTION("""COMPUTED_VALUE"""),"18. Mobilização Social")</f>
        <v>18. Mobilização Social</v>
      </c>
      <c r="B1285" s="54">
        <f>IFERROR(__xludf.DUMMYFUNCTION("""COMPUTED_VALUE"""),46085.0)</f>
        <v>46085</v>
      </c>
      <c r="C1285" s="48"/>
    </row>
    <row r="1286">
      <c r="A1286" s="48" t="str">
        <f>IFERROR(__xludf.DUMMYFUNCTION("""COMPUTED_VALUE"""),"3. Alocação de água – Reunião de Avaliação da Operação")</f>
        <v>3. Alocação de água – Reunião de Avaliação da Operação</v>
      </c>
      <c r="B1286" s="54">
        <f>IFERROR(__xludf.DUMMYFUNCTION("""COMPUTED_VALUE"""),46086.0)</f>
        <v>46086</v>
      </c>
      <c r="C1286" s="48" t="str">
        <f>IFERROR(__xludf.DUMMYFUNCTION("""COMPUTED_VALUE"""),"10")</f>
        <v>10</v>
      </c>
    </row>
    <row r="1287">
      <c r="A1287" s="48" t="str">
        <f>IFERROR(__xludf.DUMMYFUNCTION("""COMPUTED_VALUE"""),"3. Alocação de água – Reunião de Avaliação da Operação")</f>
        <v>3. Alocação de água – Reunião de Avaliação da Operação</v>
      </c>
      <c r="B1287" s="54">
        <f>IFERROR(__xludf.DUMMYFUNCTION("""COMPUTED_VALUE"""),46087.0)</f>
        <v>46087</v>
      </c>
      <c r="C1287" s="48" t="str">
        <f>IFERROR(__xludf.DUMMYFUNCTION("""COMPUTED_VALUE"""),"8")</f>
        <v>8</v>
      </c>
    </row>
    <row r="1288">
      <c r="A1288" s="48" t="str">
        <f>IFERROR(__xludf.DUMMYFUNCTION("""COMPUTED_VALUE"""),"16. CG – Capacitação da Comissão Gestora")</f>
        <v>16. CG – Capacitação da Comissão Gestora</v>
      </c>
      <c r="B1288" s="54">
        <f>IFERROR(__xludf.DUMMYFUNCTION("""COMPUTED_VALUE"""),46087.0)</f>
        <v>46087</v>
      </c>
      <c r="C1288" s="48" t="str">
        <f>IFERROR(__xludf.DUMMYFUNCTION("""COMPUTED_VALUE"""),"8")</f>
        <v>8</v>
      </c>
    </row>
    <row r="1289">
      <c r="A1289" s="48" t="str">
        <f>IFERROR(__xludf.DUMMYFUNCTION("""COMPUTED_VALUE"""),"3. Alocação de água – Reunião de Avaliação da Operação")</f>
        <v>3. Alocação de água – Reunião de Avaliação da Operação</v>
      </c>
      <c r="B1289" s="54">
        <f>IFERROR(__xludf.DUMMYFUNCTION("""COMPUTED_VALUE"""),46090.0)</f>
        <v>46090</v>
      </c>
      <c r="C1289" s="48" t="str">
        <f>IFERROR(__xludf.DUMMYFUNCTION("""COMPUTED_VALUE"""),"5")</f>
        <v>5</v>
      </c>
    </row>
    <row r="1290">
      <c r="A1290" s="48" t="str">
        <f>IFERROR(__xludf.DUMMYFUNCTION("""COMPUTED_VALUE"""),"16. CG – Capacitação da Comissão Gestora")</f>
        <v>16. CG – Capacitação da Comissão Gestora</v>
      </c>
      <c r="B1290" s="54">
        <f>IFERROR(__xludf.DUMMYFUNCTION("""COMPUTED_VALUE"""),46090.0)</f>
        <v>46090</v>
      </c>
      <c r="C1290" s="48" t="str">
        <f>IFERROR(__xludf.DUMMYFUNCTION("""COMPUTED_VALUE"""),"6")</f>
        <v>6</v>
      </c>
    </row>
    <row r="1291">
      <c r="A1291" s="48" t="str">
        <f>IFERROR(__xludf.DUMMYFUNCTION("""COMPUTED_VALUE"""),"3. Alocação de água – Reunião de Avaliação da Operação")</f>
        <v>3. Alocação de água – Reunião de Avaliação da Operação</v>
      </c>
      <c r="B1291" s="54">
        <f>IFERROR(__xludf.DUMMYFUNCTION("""COMPUTED_VALUE"""),46091.0)</f>
        <v>46091</v>
      </c>
      <c r="C1291" s="48"/>
    </row>
    <row r="1292">
      <c r="A1292" s="48" t="str">
        <f>IFERROR(__xludf.DUMMYFUNCTION("""COMPUTED_VALUE"""),"17. CG – Apoio à Formação de CG nos reservatórios (e renovação)")</f>
        <v>17. CG – Apoio à Formação de CG nos reservatórios (e renovação)</v>
      </c>
      <c r="B1292" s="54">
        <f>IFERROR(__xludf.DUMMYFUNCTION("""COMPUTED_VALUE"""),46091.0)</f>
        <v>46091</v>
      </c>
      <c r="C1292" s="48" t="str">
        <f>IFERROR(__xludf.DUMMYFUNCTION("""COMPUTED_VALUE"""),"10")</f>
        <v>10</v>
      </c>
    </row>
    <row r="1293">
      <c r="A1293" s="48" t="str">
        <f>IFERROR(__xludf.DUMMYFUNCTION("""COMPUTED_VALUE"""),"3. Alocação de água – Reunião de Avaliação da Operação")</f>
        <v>3. Alocação de água – Reunião de Avaliação da Operação</v>
      </c>
      <c r="B1293" s="54">
        <f>IFERROR(__xludf.DUMMYFUNCTION("""COMPUTED_VALUE"""),46092.0)</f>
        <v>46092</v>
      </c>
      <c r="C1293" s="48" t="str">
        <f>IFERROR(__xludf.DUMMYFUNCTION("""COMPUTED_VALUE"""),"10")</f>
        <v>10</v>
      </c>
    </row>
    <row r="1294">
      <c r="A1294" s="48" t="str">
        <f>IFERROR(__xludf.DUMMYFUNCTION("""COMPUTED_VALUE"""),"3. Alocação de água – Reunião de Avaliação da Operação")</f>
        <v>3. Alocação de água – Reunião de Avaliação da Operação</v>
      </c>
      <c r="B1294" s="54">
        <f>IFERROR(__xludf.DUMMYFUNCTION("""COMPUTED_VALUE"""),46093.0)</f>
        <v>46093</v>
      </c>
      <c r="C1294" s="48"/>
    </row>
    <row r="1295">
      <c r="A1295" s="48" t="str">
        <f>IFERROR(__xludf.DUMMYFUNCTION("""COMPUTED_VALUE"""),"3. Alocação de água – Reunião de Avaliação da Operação")</f>
        <v>3. Alocação de água – Reunião de Avaliação da Operação</v>
      </c>
      <c r="B1295" s="54">
        <f>IFERROR(__xludf.DUMMYFUNCTION("""COMPUTED_VALUE"""),46093.0)</f>
        <v>46093</v>
      </c>
      <c r="C1295" s="48"/>
    </row>
    <row r="1296">
      <c r="A1296" s="48" t="str">
        <f>IFERROR(__xludf.DUMMYFUNCTION("""COMPUTED_VALUE"""),"24. Projetos ou atividades Específicos")</f>
        <v>24. Projetos ou atividades Específicos</v>
      </c>
      <c r="B1296" s="54">
        <f>IFERROR(__xludf.DUMMYFUNCTION("""COMPUTED_VALUE"""),46098.0)</f>
        <v>46098</v>
      </c>
      <c r="C1296" s="48" t="str">
        <f>IFERROR(__xludf.DUMMYFUNCTION("""COMPUTED_VALUE"""),"6")</f>
        <v>6</v>
      </c>
    </row>
    <row r="1297">
      <c r="A1297" s="48" t="str">
        <f>IFERROR(__xludf.DUMMYFUNCTION("""COMPUTED_VALUE"""),"10. CBH – Capacitação do Comitê")</f>
        <v>10. CBH – Capacitação do Comitê</v>
      </c>
      <c r="B1297" s="54">
        <f>IFERROR(__xludf.DUMMYFUNCTION("""COMPUTED_VALUE"""),46107.0)</f>
        <v>46107</v>
      </c>
      <c r="C1297" s="48" t="str">
        <f>IFERROR(__xludf.DUMMYFUNCTION("""COMPUTED_VALUE"""),"33")</f>
        <v>33</v>
      </c>
    </row>
    <row r="1298">
      <c r="A1298" s="48" t="str">
        <f>IFERROR(__xludf.DUMMYFUNCTION("""COMPUTED_VALUE"""),"18. Mobilização Social")</f>
        <v>18. Mobilização Social</v>
      </c>
      <c r="B1298" s="54">
        <f>IFERROR(__xludf.DUMMYFUNCTION("""COMPUTED_VALUE"""),46113.0)</f>
        <v>46113</v>
      </c>
      <c r="C1298" s="48"/>
    </row>
    <row r="1299">
      <c r="A1299" s="48" t="str">
        <f>IFERROR(__xludf.DUMMYFUNCTION("""COMPUTED_VALUE"""),"24. Projetos ou atividades Específicos")</f>
        <v>24. Projetos ou atividades Específicos</v>
      </c>
      <c r="B1299" s="54">
        <f>IFERROR(__xludf.DUMMYFUNCTION("""COMPUTED_VALUE"""),46120.0)</f>
        <v>46120</v>
      </c>
      <c r="C1299" s="48"/>
    </row>
    <row r="1300">
      <c r="A1300" s="48" t="str">
        <f>IFERROR(__xludf.DUMMYFUNCTION("""COMPUTED_VALUE"""),"8. CBH – Reunião de Diretoria do CBH")</f>
        <v>8. CBH – Reunião de Diretoria do CBH</v>
      </c>
      <c r="B1300" s="54">
        <f>IFERROR(__xludf.DUMMYFUNCTION("""COMPUTED_VALUE"""),46125.0)</f>
        <v>46125</v>
      </c>
      <c r="C1300" s="48" t="str">
        <f>IFERROR(__xludf.DUMMYFUNCTION("""COMPUTED_VALUE"""),"2")</f>
        <v>2</v>
      </c>
    </row>
    <row r="1301">
      <c r="A1301" s="48" t="str">
        <f>IFERROR(__xludf.DUMMYFUNCTION("""COMPUTED_VALUE"""),"13. CBH – Participação em Reuniões de Conselhos Estaduais e em outros Fóruns/Colegiados")</f>
        <v>13. CBH – Participação em Reuniões de Conselhos Estaduais e em outros Fóruns/Colegiados</v>
      </c>
      <c r="B1301" s="54">
        <f>IFERROR(__xludf.DUMMYFUNCTION("""COMPUTED_VALUE"""),46126.0)</f>
        <v>46126</v>
      </c>
      <c r="C1301" s="48" t="str">
        <f>IFERROR(__xludf.DUMMYFUNCTION("""COMPUTED_VALUE"""),"2")</f>
        <v>2</v>
      </c>
    </row>
    <row r="1302">
      <c r="A1302" s="48" t="str">
        <f>IFERROR(__xludf.DUMMYFUNCTION("""COMPUTED_VALUE"""),"24. Projetos ou atividades Específicos")</f>
        <v>24. Projetos ou atividades Específicos</v>
      </c>
      <c r="B1302" s="54">
        <f>IFERROR(__xludf.DUMMYFUNCTION("""COMPUTED_VALUE"""),46128.0)</f>
        <v>46128</v>
      </c>
      <c r="C1302" s="48" t="str">
        <f>IFERROR(__xludf.DUMMYFUNCTION("""COMPUTED_VALUE"""),"9")</f>
        <v>9</v>
      </c>
    </row>
    <row r="1303">
      <c r="A1303" s="48" t="str">
        <f>IFERROR(__xludf.DUMMYFUNCTION("""COMPUTED_VALUE"""),"17. CG – Apoio à Formação de CG nos reservatórios (e renovação)")</f>
        <v>17. CG – Apoio à Formação de CG nos reservatórios (e renovação)</v>
      </c>
      <c r="B1303" s="54">
        <f>IFERROR(__xludf.DUMMYFUNCTION("""COMPUTED_VALUE"""),46139.0)</f>
        <v>46139</v>
      </c>
      <c r="C1303" s="48"/>
    </row>
    <row r="1304">
      <c r="A1304" s="48" t="str">
        <f>IFERROR(__xludf.DUMMYFUNCTION("""COMPUTED_VALUE"""),"21. Projetos Especiais")</f>
        <v>21. Projetos Especiais</v>
      </c>
      <c r="B1304" s="54">
        <f>IFERROR(__xludf.DUMMYFUNCTION("""COMPUTED_VALUE"""),46149.0)</f>
        <v>46149</v>
      </c>
      <c r="C1304" s="48" t="str">
        <f>IFERROR(__xludf.DUMMYFUNCTION("""COMPUTED_VALUE"""),"29")</f>
        <v>29</v>
      </c>
    </row>
    <row r="1305">
      <c r="A1305" s="48" t="str">
        <f>IFERROR(__xludf.DUMMYFUNCTION("""COMPUTED_VALUE"""),"18. Mobilização Social")</f>
        <v>18. Mobilização Social</v>
      </c>
      <c r="B1305" s="54">
        <f>IFERROR(__xludf.DUMMYFUNCTION("""COMPUTED_VALUE"""),46155.0)</f>
        <v>46155</v>
      </c>
      <c r="C1305" s="48"/>
    </row>
    <row r="1306">
      <c r="A1306" s="48" t="str">
        <f>IFERROR(__xludf.DUMMYFUNCTION("""COMPUTED_VALUE"""),"24. Projetos ou atividades Específicos")</f>
        <v>24. Projetos ou atividades Específicos</v>
      </c>
      <c r="B1306" s="54">
        <f>IFERROR(__xludf.DUMMYFUNCTION("""COMPUTED_VALUE"""),46161.0)</f>
        <v>46161</v>
      </c>
      <c r="C1306" s="48" t="str">
        <f>IFERROR(__xludf.DUMMYFUNCTION("""COMPUTED_VALUE"""),"12")</f>
        <v>12</v>
      </c>
    </row>
    <row r="1307">
      <c r="A1307" s="48" t="str">
        <f>IFERROR(__xludf.DUMMYFUNCTION("""COMPUTED_VALUE"""),"7. CBH – Reunião Extraordinária do Comitê")</f>
        <v>7. CBH – Reunião Extraordinária do Comitê</v>
      </c>
      <c r="B1307" s="54">
        <f>IFERROR(__xludf.DUMMYFUNCTION("""COMPUTED_VALUE"""),46176.0)</f>
        <v>46176</v>
      </c>
      <c r="C1307" s="48" t="str">
        <f>IFERROR(__xludf.DUMMYFUNCTION("""COMPUTED_VALUE"""),"28")</f>
        <v>28</v>
      </c>
    </row>
    <row r="1308">
      <c r="A1308" s="48" t="str">
        <f>IFERROR(__xludf.DUMMYFUNCTION("""COMPUTED_VALUE"""),"10. CBH – Capacitação do Comitê")</f>
        <v>10. CBH – Capacitação do Comitê</v>
      </c>
      <c r="B1308" s="54">
        <f>IFERROR(__xludf.DUMMYFUNCTION("""COMPUTED_VALUE"""),46176.0)</f>
        <v>46176</v>
      </c>
      <c r="C1308" s="48" t="str">
        <f>IFERROR(__xludf.DUMMYFUNCTION("""COMPUTED_VALUE"""),"28")</f>
        <v>28</v>
      </c>
    </row>
    <row r="1309">
      <c r="A1309" s="48" t="str">
        <f>IFERROR(__xludf.DUMMYFUNCTION("""COMPUTED_VALUE"""),"8. CBH – Reunião de Diretoria do CBH")</f>
        <v>8. CBH – Reunião de Diretoria do CBH</v>
      </c>
      <c r="B1309" s="54">
        <f>IFERROR(__xludf.DUMMYFUNCTION("""COMPUTED_VALUE"""),46181.0)</f>
        <v>46181</v>
      </c>
      <c r="C1309" s="48" t="str">
        <f>IFERROR(__xludf.DUMMYFUNCTION("""COMPUTED_VALUE"""),"2")</f>
        <v>2</v>
      </c>
    </row>
    <row r="1310">
      <c r="A1310" s="48" t="str">
        <f>IFERROR(__xludf.DUMMYFUNCTION("""COMPUTED_VALUE"""),"24. Projetos ou atividades Específicos")</f>
        <v>24. Projetos ou atividades Específicos</v>
      </c>
      <c r="B1310" s="54">
        <f>IFERROR(__xludf.DUMMYFUNCTION("""COMPUTED_VALUE"""),46182.0)</f>
        <v>46182</v>
      </c>
      <c r="C1310" s="48"/>
    </row>
    <row r="1311">
      <c r="A1311" s="48" t="str">
        <f>IFERROR(__xludf.DUMMYFUNCTION("""COMPUTED_VALUE"""),"12. CBH – Reunião do Fórum Cearense de Comitê")</f>
        <v>12. CBH – Reunião do Fórum Cearense de Comitê</v>
      </c>
      <c r="B1311" s="54">
        <f>IFERROR(__xludf.DUMMYFUNCTION("""COMPUTED_VALUE"""),46189.0)</f>
        <v>46189</v>
      </c>
      <c r="C1311" s="48"/>
    </row>
    <row r="1312">
      <c r="A1312" s="48" t="str">
        <f>IFERROR(__xludf.DUMMYFUNCTION("""COMPUTED_VALUE"""),"18. Mobilização Social")</f>
        <v>18. Mobilização Social</v>
      </c>
      <c r="B1312" s="54">
        <f>IFERROR(__xludf.DUMMYFUNCTION("""COMPUTED_VALUE"""),46191.0)</f>
        <v>46191</v>
      </c>
      <c r="C1312" s="48"/>
    </row>
    <row r="1313">
      <c r="A1313" s="48" t="str">
        <f>IFERROR(__xludf.DUMMYFUNCTION("""COMPUTED_VALUE"""),"18. Mobilização Social")</f>
        <v>18. Mobilização Social</v>
      </c>
      <c r="B1313" s="54">
        <f>IFERROR(__xludf.DUMMYFUNCTION("""COMPUTED_VALUE"""),46191.0)</f>
        <v>46191</v>
      </c>
      <c r="C1313" s="48"/>
    </row>
    <row r="1314">
      <c r="A1314" s="48" t="str">
        <f>IFERROR(__xludf.DUMMYFUNCTION("""COMPUTED_VALUE"""),"18. Mobilização Social")</f>
        <v>18. Mobilização Social</v>
      </c>
      <c r="B1314" s="54">
        <f>IFERROR(__xludf.DUMMYFUNCTION("""COMPUTED_VALUE"""),46192.0)</f>
        <v>46192</v>
      </c>
      <c r="C1314" s="48"/>
    </row>
    <row r="1315">
      <c r="A1315" s="48" t="str">
        <f>IFERROR(__xludf.DUMMYFUNCTION("""COMPUTED_VALUE"""),"18. Mobilização Social")</f>
        <v>18. Mobilização Social</v>
      </c>
      <c r="B1315" s="54">
        <f>IFERROR(__xludf.DUMMYFUNCTION("""COMPUTED_VALUE"""),46192.0)</f>
        <v>46192</v>
      </c>
      <c r="C1315" s="48"/>
    </row>
    <row r="1316">
      <c r="A1316" s="48" t="str">
        <f>IFERROR(__xludf.DUMMYFUNCTION("""COMPUTED_VALUE"""),"18. Mobilização Social")</f>
        <v>18. Mobilização Social</v>
      </c>
      <c r="B1316" s="54">
        <f>IFERROR(__xludf.DUMMYFUNCTION("""COMPUTED_VALUE"""),46195.0)</f>
        <v>46195</v>
      </c>
      <c r="C1316" s="48"/>
    </row>
    <row r="1317">
      <c r="A1317" s="48" t="str">
        <f>IFERROR(__xludf.DUMMYFUNCTION("""COMPUTED_VALUE"""),"18. Mobilização Social")</f>
        <v>18. Mobilização Social</v>
      </c>
      <c r="B1317" s="54">
        <f>IFERROR(__xludf.DUMMYFUNCTION("""COMPUTED_VALUE"""),46195.0)</f>
        <v>46195</v>
      </c>
      <c r="C1317" s="48"/>
    </row>
    <row r="1318">
      <c r="A1318" s="48" t="str">
        <f>IFERROR(__xludf.DUMMYFUNCTION("""COMPUTED_VALUE"""),"6. CBH – Reunião Ordinária do Comitê")</f>
        <v>6. CBH – Reunião Ordinária do Comitê</v>
      </c>
      <c r="B1318" s="54">
        <f>IFERROR(__xludf.DUMMYFUNCTION("""COMPUTED_VALUE"""),46198.0)</f>
        <v>46198</v>
      </c>
      <c r="C1318" s="48"/>
    </row>
    <row r="1319">
      <c r="A1319" s="48" t="str">
        <f>IFERROR(__xludf.DUMMYFUNCTION("""COMPUTED_VALUE"""),"1. Alocação de água – Reunião de Alocação Participativa")</f>
        <v>1. Alocação de água – Reunião de Alocação Participativa</v>
      </c>
      <c r="B1319" s="54">
        <f>IFERROR(__xludf.DUMMYFUNCTION("""COMPUTED_VALUE"""),46203.0)</f>
        <v>46203</v>
      </c>
      <c r="C1319" s="48"/>
    </row>
    <row r="1320">
      <c r="A1320" s="48" t="str">
        <f>IFERROR(__xludf.DUMMYFUNCTION("""COMPUTED_VALUE"""),"1. Alocação de água – Reunião de Alocação Participativa")</f>
        <v>1. Alocação de água – Reunião de Alocação Participativa</v>
      </c>
      <c r="B1320" s="54">
        <f>IFERROR(__xludf.DUMMYFUNCTION("""COMPUTED_VALUE"""),46203.0)</f>
        <v>46203</v>
      </c>
      <c r="C1320" s="48"/>
    </row>
    <row r="1321">
      <c r="A1321" s="48"/>
      <c r="B1321" s="54"/>
      <c r="C1321" s="48"/>
    </row>
    <row r="1322">
      <c r="A1322" s="48"/>
      <c r="B1322" s="54"/>
      <c r="C1322" s="48"/>
    </row>
    <row r="1323">
      <c r="A1323" s="48"/>
      <c r="B1323" s="54"/>
      <c r="C1323" s="48"/>
    </row>
    <row r="1324">
      <c r="A1324" s="48"/>
      <c r="B1324" s="54"/>
      <c r="C1324" s="48"/>
    </row>
    <row r="1325">
      <c r="A1325" s="48"/>
      <c r="B1325" s="54"/>
      <c r="C1325" s="48"/>
    </row>
    <row r="1326">
      <c r="A1326" s="48"/>
      <c r="B1326" s="54"/>
      <c r="C1326" s="48"/>
    </row>
    <row r="1327">
      <c r="A1327" s="48"/>
      <c r="B1327" s="54"/>
      <c r="C1327" s="48"/>
    </row>
    <row r="1328">
      <c r="A1328" s="48"/>
      <c r="B1328" s="54"/>
      <c r="C1328" s="48"/>
    </row>
    <row r="1329">
      <c r="A1329" s="48"/>
      <c r="B1329" s="54"/>
      <c r="C1329" s="48"/>
    </row>
    <row r="1330">
      <c r="A1330" s="48"/>
      <c r="B1330" s="54"/>
      <c r="C1330" s="48"/>
    </row>
    <row r="1331">
      <c r="A1331" s="48"/>
      <c r="B1331" s="54"/>
      <c r="C1331" s="48"/>
    </row>
    <row r="1332">
      <c r="A1332" s="48"/>
      <c r="B1332" s="54"/>
      <c r="C1332" s="48"/>
    </row>
    <row r="1333">
      <c r="A1333" s="48"/>
      <c r="B1333" s="54"/>
      <c r="C1333" s="48"/>
    </row>
    <row r="1334">
      <c r="A1334" s="48"/>
      <c r="B1334" s="54"/>
      <c r="C1334" s="48"/>
    </row>
    <row r="1335">
      <c r="A1335" s="48"/>
      <c r="B1335" s="54"/>
      <c r="C1335" s="48"/>
    </row>
    <row r="1336">
      <c r="A1336" s="48"/>
      <c r="B1336" s="54"/>
      <c r="C1336" s="48"/>
    </row>
    <row r="1337">
      <c r="A1337" s="48"/>
      <c r="B1337" s="54"/>
      <c r="C1337" s="48"/>
    </row>
    <row r="1338">
      <c r="A1338" s="48"/>
      <c r="B1338" s="54"/>
      <c r="C1338" s="48"/>
    </row>
    <row r="1339">
      <c r="A1339" s="48"/>
      <c r="B1339" s="54"/>
      <c r="C1339" s="48"/>
    </row>
    <row r="1340">
      <c r="A1340" s="48"/>
      <c r="B1340" s="54"/>
      <c r="C1340" s="48"/>
    </row>
    <row r="1341">
      <c r="A1341" s="48"/>
      <c r="B1341" s="54"/>
      <c r="C1341" s="48"/>
    </row>
    <row r="1342">
      <c r="A1342" s="48"/>
      <c r="B1342" s="54"/>
      <c r="C1342" s="48"/>
    </row>
    <row r="1343">
      <c r="A1343" s="48"/>
      <c r="B1343" s="54"/>
      <c r="C1343" s="48"/>
    </row>
    <row r="1344">
      <c r="A1344" s="48"/>
      <c r="B1344" s="54"/>
      <c r="C1344" s="48"/>
    </row>
    <row r="1345">
      <c r="A1345" s="48"/>
      <c r="B1345" s="54"/>
      <c r="C1345" s="48"/>
    </row>
    <row r="1346">
      <c r="A1346" s="48"/>
      <c r="B1346" s="54"/>
      <c r="C1346" s="48"/>
    </row>
    <row r="1347">
      <c r="A1347" s="48"/>
      <c r="B1347" s="54"/>
      <c r="C1347" s="48"/>
    </row>
    <row r="1348">
      <c r="A1348" s="48"/>
      <c r="B1348" s="54"/>
      <c r="C1348" s="48"/>
    </row>
    <row r="1349">
      <c r="A1349" s="48"/>
      <c r="B1349" s="54"/>
      <c r="C1349" s="48"/>
    </row>
    <row r="1350">
      <c r="A1350" s="48"/>
      <c r="B1350" s="54"/>
      <c r="C1350" s="48"/>
    </row>
    <row r="1351">
      <c r="A1351" s="48"/>
      <c r="B1351" s="54"/>
      <c r="C1351" s="48"/>
    </row>
    <row r="1352">
      <c r="A1352" s="48"/>
      <c r="B1352" s="54"/>
      <c r="C1352" s="48"/>
    </row>
    <row r="1353">
      <c r="A1353" s="48"/>
      <c r="B1353" s="54"/>
      <c r="C1353" s="48"/>
    </row>
    <row r="1354">
      <c r="A1354" s="48"/>
      <c r="B1354" s="54"/>
      <c r="C1354" s="48"/>
    </row>
    <row r="1355">
      <c r="A1355" s="48"/>
      <c r="B1355" s="54"/>
      <c r="C1355" s="48"/>
    </row>
    <row r="1356">
      <c r="A1356" s="48"/>
      <c r="B1356" s="54"/>
      <c r="C1356" s="48"/>
    </row>
    <row r="1357">
      <c r="A1357" s="48"/>
      <c r="B1357" s="54"/>
      <c r="C1357" s="48"/>
    </row>
    <row r="1358">
      <c r="A1358" s="48"/>
      <c r="B1358" s="54"/>
      <c r="C1358" s="48"/>
    </row>
    <row r="1359">
      <c r="A1359" s="48"/>
      <c r="B1359" s="54"/>
      <c r="C1359" s="48"/>
    </row>
    <row r="1360">
      <c r="A1360" s="48"/>
      <c r="B1360" s="54"/>
      <c r="C1360" s="48"/>
    </row>
    <row r="1361">
      <c r="A1361" s="48"/>
      <c r="B1361" s="54"/>
      <c r="C1361" s="48"/>
    </row>
    <row r="1362">
      <c r="A1362" s="48"/>
      <c r="B1362" s="54"/>
      <c r="C1362" s="48"/>
    </row>
    <row r="1363">
      <c r="A1363" s="48"/>
      <c r="B1363" s="54"/>
      <c r="C1363" s="48"/>
    </row>
    <row r="1364">
      <c r="A1364" s="48"/>
      <c r="B1364" s="54"/>
      <c r="C1364" s="48"/>
    </row>
    <row r="1365">
      <c r="A1365" s="48"/>
      <c r="B1365" s="54"/>
      <c r="C1365" s="48"/>
    </row>
    <row r="1366">
      <c r="A1366" s="48"/>
      <c r="B1366" s="54"/>
      <c r="C1366" s="48"/>
    </row>
    <row r="1367">
      <c r="A1367" s="48"/>
      <c r="B1367" s="54"/>
      <c r="C1367" s="48"/>
    </row>
    <row r="1368">
      <c r="A1368" s="48"/>
      <c r="B1368" s="54"/>
      <c r="C1368" s="48"/>
    </row>
    <row r="1369">
      <c r="A1369" s="48"/>
      <c r="B1369" s="54"/>
      <c r="C1369" s="48"/>
    </row>
    <row r="1370">
      <c r="A1370" s="48"/>
      <c r="B1370" s="54"/>
      <c r="C1370" s="48"/>
    </row>
    <row r="1371">
      <c r="A1371" s="48"/>
      <c r="B1371" s="54"/>
      <c r="C1371" s="48"/>
    </row>
    <row r="1372">
      <c r="A1372" s="48"/>
      <c r="B1372" s="54"/>
      <c r="C1372" s="48"/>
    </row>
    <row r="1373">
      <c r="A1373" s="48"/>
      <c r="B1373" s="54"/>
      <c r="C1373" s="48"/>
    </row>
    <row r="1374">
      <c r="A1374" s="48"/>
      <c r="B1374" s="54"/>
      <c r="C1374" s="48"/>
    </row>
    <row r="1375">
      <c r="A1375" s="48"/>
      <c r="B1375" s="54"/>
      <c r="C1375" s="48"/>
    </row>
    <row r="1376">
      <c r="A1376" s="48"/>
      <c r="B1376" s="54"/>
      <c r="C1376" s="48"/>
    </row>
    <row r="1377">
      <c r="A1377" s="48"/>
      <c r="B1377" s="54"/>
      <c r="C1377" s="48"/>
    </row>
    <row r="1378">
      <c r="A1378" s="48"/>
      <c r="B1378" s="54"/>
      <c r="C1378" s="48"/>
    </row>
    <row r="1379">
      <c r="A1379" s="48"/>
      <c r="B1379" s="54"/>
      <c r="C1379" s="48"/>
    </row>
    <row r="1380">
      <c r="A1380" s="48"/>
      <c r="B1380" s="54"/>
      <c r="C1380" s="48"/>
    </row>
    <row r="1381">
      <c r="A1381" s="48"/>
      <c r="B1381" s="54"/>
      <c r="C1381" s="48"/>
    </row>
    <row r="1382">
      <c r="A1382" s="48"/>
      <c r="B1382" s="54"/>
      <c r="C1382" s="48"/>
    </row>
    <row r="1383">
      <c r="A1383" s="48"/>
      <c r="B1383" s="54"/>
      <c r="C1383" s="48"/>
    </row>
    <row r="1384">
      <c r="A1384" s="48"/>
      <c r="B1384" s="54"/>
      <c r="C1384" s="48"/>
    </row>
    <row r="1385">
      <c r="A1385" s="48"/>
      <c r="B1385" s="54"/>
      <c r="C1385" s="48"/>
    </row>
    <row r="1386">
      <c r="A1386" s="48"/>
      <c r="B1386" s="54"/>
      <c r="C1386" s="48"/>
    </row>
    <row r="1387">
      <c r="A1387" s="48"/>
      <c r="B1387" s="54"/>
      <c r="C1387" s="48"/>
    </row>
    <row r="1388">
      <c r="A1388" s="48"/>
      <c r="B1388" s="54"/>
      <c r="C1388" s="48"/>
    </row>
    <row r="1389">
      <c r="A1389" s="48"/>
      <c r="B1389" s="54"/>
      <c r="C1389" s="48"/>
    </row>
    <row r="1390">
      <c r="A1390" s="48"/>
      <c r="B1390" s="54"/>
      <c r="C1390" s="48"/>
    </row>
    <row r="1391">
      <c r="A1391" s="48"/>
      <c r="B1391" s="54"/>
      <c r="C1391" s="48"/>
    </row>
    <row r="1392">
      <c r="A1392" s="48"/>
      <c r="B1392" s="54"/>
      <c r="C1392" s="48"/>
    </row>
    <row r="1393">
      <c r="A1393" s="48"/>
      <c r="B1393" s="54"/>
      <c r="C1393" s="48"/>
    </row>
    <row r="1394">
      <c r="A1394" s="48"/>
      <c r="B1394" s="54"/>
      <c r="C1394" s="48"/>
    </row>
    <row r="1395">
      <c r="A1395" s="48"/>
      <c r="B1395" s="54"/>
      <c r="C1395" s="48"/>
    </row>
    <row r="1396">
      <c r="A1396" s="48"/>
      <c r="B1396" s="54"/>
      <c r="C1396" s="48"/>
    </row>
    <row r="1397">
      <c r="A1397" s="48"/>
      <c r="B1397" s="54"/>
      <c r="C1397" s="48"/>
    </row>
    <row r="1398">
      <c r="A1398" s="48"/>
      <c r="B1398" s="54"/>
      <c r="C1398" s="48"/>
    </row>
    <row r="1399">
      <c r="A1399" s="48"/>
      <c r="B1399" s="54"/>
      <c r="C1399" s="48"/>
    </row>
    <row r="1400">
      <c r="A1400" s="48"/>
      <c r="B1400" s="54"/>
      <c r="C1400" s="48"/>
    </row>
    <row r="1401">
      <c r="A1401" s="48"/>
      <c r="B1401" s="54"/>
      <c r="C1401" s="48"/>
    </row>
    <row r="1402">
      <c r="A1402" s="48"/>
      <c r="B1402" s="54"/>
      <c r="C1402" s="48"/>
    </row>
    <row r="1403">
      <c r="A1403" s="48"/>
      <c r="B1403" s="54"/>
      <c r="C1403" s="48"/>
    </row>
    <row r="1404">
      <c r="A1404" s="48"/>
      <c r="B1404" s="54"/>
      <c r="C1404" s="48"/>
    </row>
    <row r="1405">
      <c r="A1405" s="48"/>
      <c r="B1405" s="54"/>
      <c r="C1405" s="48"/>
    </row>
    <row r="1406">
      <c r="A1406" s="48"/>
      <c r="B1406" s="54"/>
      <c r="C1406" s="48"/>
    </row>
    <row r="1407">
      <c r="A1407" s="48"/>
      <c r="B1407" s="54"/>
      <c r="C1407" s="48"/>
    </row>
    <row r="1408">
      <c r="A1408" s="48"/>
      <c r="B1408" s="54"/>
      <c r="C1408" s="48"/>
    </row>
    <row r="1409">
      <c r="A1409" s="48"/>
      <c r="B1409" s="54"/>
      <c r="C1409" s="48"/>
    </row>
    <row r="1410">
      <c r="A1410" s="48"/>
      <c r="B1410" s="54"/>
      <c r="C1410" s="48"/>
    </row>
    <row r="1411">
      <c r="A1411" s="48"/>
      <c r="B1411" s="54"/>
      <c r="C1411" s="48"/>
    </row>
    <row r="1412">
      <c r="A1412" s="48"/>
      <c r="B1412" s="54"/>
      <c r="C1412" s="48"/>
    </row>
    <row r="1413">
      <c r="A1413" s="48"/>
      <c r="B1413" s="54"/>
      <c r="C1413" s="48"/>
    </row>
    <row r="1414">
      <c r="A1414" s="48"/>
      <c r="B1414" s="54"/>
      <c r="C1414" s="48"/>
    </row>
    <row r="1415">
      <c r="A1415" s="48"/>
      <c r="B1415" s="54"/>
      <c r="C1415" s="48"/>
    </row>
    <row r="1416">
      <c r="A1416" s="48"/>
      <c r="B1416" s="54"/>
      <c r="C1416" s="48"/>
    </row>
    <row r="1417">
      <c r="A1417" s="48"/>
      <c r="B1417" s="54"/>
      <c r="C1417" s="48"/>
    </row>
    <row r="1418">
      <c r="A1418" s="48"/>
      <c r="B1418" s="54"/>
      <c r="C1418" s="48"/>
    </row>
    <row r="1419">
      <c r="A1419" s="48"/>
      <c r="B1419" s="54"/>
      <c r="C1419" s="48"/>
    </row>
    <row r="1420">
      <c r="A1420" s="48"/>
      <c r="B1420" s="54"/>
      <c r="C1420" s="48"/>
    </row>
    <row r="1421">
      <c r="A1421" s="48"/>
      <c r="B1421" s="54"/>
      <c r="C1421" s="48"/>
    </row>
    <row r="1422">
      <c r="A1422" s="48"/>
      <c r="B1422" s="54"/>
      <c r="C1422" s="48"/>
    </row>
    <row r="1423">
      <c r="A1423" s="48"/>
      <c r="B1423" s="54"/>
      <c r="C1423" s="48"/>
    </row>
    <row r="1424">
      <c r="A1424" s="48"/>
      <c r="B1424" s="54"/>
      <c r="C1424" s="48"/>
    </row>
    <row r="1425">
      <c r="A1425" s="48"/>
      <c r="B1425" s="54"/>
      <c r="C1425" s="48"/>
    </row>
    <row r="1426">
      <c r="A1426" s="48"/>
      <c r="B1426" s="54"/>
      <c r="C1426" s="48"/>
    </row>
    <row r="1427">
      <c r="A1427" s="48"/>
      <c r="B1427" s="54"/>
      <c r="C1427" s="48"/>
    </row>
    <row r="1428">
      <c r="A1428" s="48"/>
      <c r="B1428" s="54"/>
      <c r="C1428" s="48"/>
    </row>
    <row r="1429">
      <c r="A1429" s="48"/>
      <c r="B1429" s="54"/>
      <c r="C1429" s="48"/>
    </row>
    <row r="1430">
      <c r="A1430" s="48"/>
      <c r="B1430" s="54"/>
      <c r="C1430" s="48"/>
    </row>
    <row r="1431">
      <c r="A1431" s="48"/>
      <c r="B1431" s="54"/>
      <c r="C1431" s="48"/>
    </row>
    <row r="1432">
      <c r="A1432" s="48"/>
      <c r="B1432" s="54"/>
      <c r="C1432" s="48"/>
    </row>
    <row r="1433">
      <c r="A1433" s="48"/>
      <c r="B1433" s="54"/>
      <c r="C1433" s="48"/>
    </row>
    <row r="1434">
      <c r="A1434" s="48"/>
      <c r="B1434" s="54"/>
      <c r="C1434" s="48"/>
    </row>
    <row r="1435">
      <c r="A1435" s="48"/>
      <c r="B1435" s="54"/>
      <c r="C1435" s="48"/>
    </row>
    <row r="1436">
      <c r="A1436" s="48"/>
      <c r="B1436" s="54"/>
      <c r="C1436" s="48"/>
    </row>
    <row r="1437">
      <c r="A1437" s="48"/>
      <c r="B1437" s="54"/>
      <c r="C1437" s="48"/>
    </row>
    <row r="1438">
      <c r="A1438" s="48"/>
      <c r="B1438" s="54"/>
      <c r="C1438" s="48"/>
    </row>
    <row r="1439">
      <c r="A1439" s="48"/>
      <c r="B1439" s="54"/>
      <c r="C1439" s="48"/>
    </row>
    <row r="1440">
      <c r="A1440" s="48"/>
      <c r="B1440" s="54"/>
      <c r="C1440" s="48"/>
    </row>
    <row r="1441">
      <c r="A1441" s="48"/>
      <c r="B1441" s="54"/>
      <c r="C1441" s="48"/>
    </row>
    <row r="1442">
      <c r="A1442" s="48"/>
      <c r="B1442" s="54"/>
      <c r="C1442" s="48"/>
    </row>
    <row r="1443">
      <c r="A1443" s="48"/>
      <c r="B1443" s="54"/>
      <c r="C1443" s="48"/>
    </row>
    <row r="1444">
      <c r="A1444" s="48"/>
      <c r="B1444" s="54"/>
      <c r="C1444" s="48"/>
    </row>
    <row r="1445">
      <c r="A1445" s="48"/>
      <c r="B1445" s="54"/>
      <c r="C1445" s="48"/>
    </row>
    <row r="1446">
      <c r="A1446" s="48"/>
      <c r="B1446" s="54"/>
      <c r="C1446" s="48"/>
    </row>
    <row r="1447">
      <c r="A1447" s="48"/>
      <c r="B1447" s="54"/>
      <c r="C1447" s="48"/>
    </row>
    <row r="1448">
      <c r="A1448" s="48"/>
      <c r="B1448" s="54"/>
      <c r="C1448" s="48"/>
    </row>
    <row r="1449">
      <c r="A1449" s="48"/>
      <c r="B1449" s="54"/>
      <c r="C1449" s="48"/>
    </row>
    <row r="1450">
      <c r="A1450" s="48"/>
      <c r="B1450" s="54"/>
      <c r="C1450" s="48"/>
    </row>
    <row r="1451">
      <c r="A1451" s="48"/>
      <c r="B1451" s="54"/>
      <c r="C1451" s="48"/>
    </row>
    <row r="1452">
      <c r="A1452" s="48"/>
      <c r="B1452" s="54"/>
      <c r="C1452" s="48"/>
    </row>
    <row r="1453">
      <c r="A1453" s="48"/>
      <c r="B1453" s="54"/>
      <c r="C1453" s="48"/>
    </row>
    <row r="1454">
      <c r="A1454" s="48"/>
      <c r="B1454" s="54"/>
      <c r="C1454" s="48"/>
    </row>
    <row r="1455">
      <c r="A1455" s="48"/>
      <c r="B1455" s="54"/>
      <c r="C1455" s="48"/>
    </row>
    <row r="1456">
      <c r="A1456" s="48"/>
      <c r="B1456" s="54"/>
      <c r="C1456" s="48"/>
    </row>
    <row r="1457">
      <c r="A1457" s="48"/>
      <c r="B1457" s="54"/>
      <c r="C1457" s="48"/>
    </row>
    <row r="1458">
      <c r="A1458" s="48"/>
      <c r="B1458" s="54"/>
      <c r="C1458" s="48"/>
    </row>
    <row r="1459">
      <c r="A1459" s="48"/>
      <c r="B1459" s="54"/>
      <c r="C1459" s="48"/>
    </row>
    <row r="1460">
      <c r="A1460" s="48"/>
      <c r="B1460" s="54"/>
      <c r="C1460" s="48"/>
    </row>
    <row r="1461">
      <c r="A1461" s="48"/>
      <c r="B1461" s="54"/>
      <c r="C1461" s="48"/>
    </row>
    <row r="1462">
      <c r="A1462" s="48"/>
      <c r="B1462" s="54"/>
      <c r="C1462" s="48"/>
    </row>
    <row r="1463">
      <c r="A1463" s="48"/>
      <c r="B1463" s="54"/>
      <c r="C1463" s="48"/>
    </row>
    <row r="1464">
      <c r="A1464" s="48"/>
      <c r="B1464" s="54"/>
      <c r="C1464" s="48"/>
    </row>
    <row r="1465">
      <c r="A1465" s="48"/>
      <c r="B1465" s="54"/>
      <c r="C1465" s="48"/>
    </row>
    <row r="1466">
      <c r="A1466" s="48"/>
      <c r="B1466" s="54"/>
      <c r="C1466" s="48"/>
    </row>
    <row r="1467">
      <c r="A1467" s="48"/>
      <c r="B1467" s="54"/>
      <c r="C1467" s="48"/>
    </row>
    <row r="1468">
      <c r="A1468" s="48"/>
      <c r="B1468" s="54"/>
      <c r="C1468" s="48"/>
    </row>
    <row r="1469">
      <c r="A1469" s="48"/>
      <c r="B1469" s="54"/>
      <c r="C1469" s="48"/>
    </row>
    <row r="1470">
      <c r="A1470" s="48"/>
      <c r="B1470" s="54"/>
      <c r="C1470" s="48"/>
    </row>
    <row r="1471">
      <c r="A1471" s="48"/>
      <c r="B1471" s="54"/>
      <c r="C1471" s="48"/>
    </row>
    <row r="1472">
      <c r="A1472" s="48"/>
      <c r="B1472" s="54"/>
      <c r="C1472" s="48"/>
    </row>
    <row r="1473">
      <c r="A1473" s="48"/>
      <c r="B1473" s="54"/>
      <c r="C1473" s="48"/>
    </row>
    <row r="1474">
      <c r="A1474" s="48"/>
      <c r="B1474" s="54"/>
      <c r="C1474" s="48"/>
    </row>
    <row r="1475">
      <c r="A1475" s="48"/>
      <c r="B1475" s="54"/>
      <c r="C1475" s="48"/>
    </row>
    <row r="1476">
      <c r="A1476" s="48"/>
      <c r="B1476" s="54"/>
      <c r="C1476" s="48"/>
    </row>
    <row r="1477">
      <c r="A1477" s="48"/>
      <c r="B1477" s="54"/>
      <c r="C1477" s="48"/>
    </row>
    <row r="1478">
      <c r="A1478" s="48"/>
      <c r="B1478" s="54"/>
      <c r="C1478" s="48"/>
    </row>
    <row r="1479">
      <c r="A1479" s="48"/>
      <c r="B1479" s="54"/>
      <c r="C1479" s="48"/>
    </row>
    <row r="1480">
      <c r="A1480" s="48"/>
      <c r="B1480" s="54"/>
      <c r="C1480" s="48"/>
    </row>
    <row r="1481">
      <c r="A1481" s="48"/>
      <c r="B1481" s="54"/>
      <c r="C1481" s="48"/>
    </row>
    <row r="1482">
      <c r="A1482" s="48"/>
      <c r="B1482" s="54"/>
      <c r="C1482" s="48"/>
    </row>
    <row r="1483">
      <c r="A1483" s="48"/>
      <c r="B1483" s="54"/>
      <c r="C1483" s="48"/>
    </row>
    <row r="1484">
      <c r="A1484" s="48"/>
      <c r="B1484" s="54"/>
      <c r="C1484" s="48"/>
    </row>
    <row r="1485">
      <c r="A1485" s="48"/>
      <c r="B1485" s="54"/>
      <c r="C1485" s="48"/>
    </row>
    <row r="1486">
      <c r="A1486" s="48"/>
      <c r="B1486" s="54"/>
      <c r="C1486" s="48"/>
    </row>
    <row r="1487">
      <c r="A1487" s="48"/>
      <c r="B1487" s="54"/>
      <c r="C1487" s="48"/>
    </row>
    <row r="1488">
      <c r="A1488" s="48"/>
      <c r="B1488" s="54"/>
      <c r="C1488" s="48"/>
    </row>
    <row r="1489">
      <c r="A1489" s="48"/>
      <c r="B1489" s="54"/>
      <c r="C1489" s="48"/>
    </row>
    <row r="1490">
      <c r="A1490" s="48"/>
      <c r="B1490" s="54"/>
      <c r="C1490" s="48"/>
    </row>
    <row r="1491">
      <c r="A1491" s="48"/>
      <c r="B1491" s="54"/>
      <c r="C1491" s="48"/>
    </row>
    <row r="1492">
      <c r="A1492" s="48"/>
      <c r="B1492" s="54"/>
      <c r="C1492" s="48"/>
    </row>
    <row r="1493">
      <c r="A1493" s="48"/>
      <c r="B1493" s="54"/>
      <c r="C1493" s="48"/>
    </row>
    <row r="1494">
      <c r="A1494" s="48"/>
      <c r="B1494" s="54"/>
      <c r="C1494" s="48"/>
    </row>
    <row r="1495">
      <c r="A1495" s="48"/>
      <c r="B1495" s="54"/>
      <c r="C1495" s="48"/>
    </row>
    <row r="1496">
      <c r="A1496" s="48"/>
      <c r="B1496" s="54"/>
      <c r="C1496" s="48"/>
    </row>
    <row r="1497">
      <c r="A1497" s="48"/>
      <c r="B1497" s="54"/>
      <c r="C1497" s="48"/>
    </row>
    <row r="1498">
      <c r="A1498" s="48"/>
      <c r="B1498" s="54"/>
      <c r="C1498" s="48"/>
    </row>
    <row r="1499">
      <c r="A1499" s="48"/>
      <c r="B1499" s="54"/>
      <c r="C1499" s="48"/>
    </row>
    <row r="1500">
      <c r="A1500" s="48"/>
      <c r="B1500" s="54"/>
      <c r="C1500" s="48"/>
    </row>
    <row r="1501">
      <c r="A1501" s="48"/>
      <c r="B1501" s="54"/>
      <c r="C1501" s="48"/>
    </row>
    <row r="1502">
      <c r="A1502" s="48"/>
      <c r="B1502" s="54"/>
      <c r="C1502" s="48"/>
    </row>
    <row r="1503">
      <c r="A1503" s="48"/>
      <c r="B1503" s="54"/>
      <c r="C1503" s="48"/>
    </row>
    <row r="1504">
      <c r="A1504" s="48"/>
      <c r="B1504" s="54"/>
      <c r="C1504" s="48"/>
    </row>
    <row r="1505">
      <c r="A1505" s="48"/>
      <c r="B1505" s="54"/>
      <c r="C1505" s="48"/>
    </row>
    <row r="1506">
      <c r="A1506" s="48"/>
      <c r="B1506" s="54"/>
      <c r="C1506" s="48"/>
    </row>
    <row r="1507">
      <c r="A1507" s="48"/>
      <c r="B1507" s="54"/>
      <c r="C1507" s="48"/>
    </row>
    <row r="1508">
      <c r="A1508" s="48"/>
      <c r="B1508" s="54"/>
      <c r="C1508" s="48"/>
    </row>
    <row r="1509">
      <c r="A1509" s="48"/>
      <c r="B1509" s="54"/>
      <c r="C1509" s="48"/>
    </row>
    <row r="1510">
      <c r="A1510" s="48"/>
      <c r="B1510" s="54"/>
      <c r="C1510" s="48"/>
    </row>
    <row r="1511">
      <c r="A1511" s="48"/>
      <c r="B1511" s="54"/>
      <c r="C1511" s="48"/>
    </row>
    <row r="1512">
      <c r="A1512" s="48"/>
      <c r="B1512" s="54"/>
      <c r="C1512" s="48"/>
    </row>
    <row r="1513">
      <c r="A1513" s="48"/>
      <c r="B1513" s="54"/>
      <c r="C1513" s="48"/>
    </row>
    <row r="1514">
      <c r="A1514" s="48"/>
      <c r="B1514" s="54"/>
      <c r="C1514" s="48"/>
    </row>
    <row r="1515">
      <c r="A1515" s="48"/>
      <c r="B1515" s="54"/>
      <c r="C1515" s="48"/>
    </row>
    <row r="1516">
      <c r="A1516" s="48"/>
      <c r="B1516" s="54"/>
      <c r="C1516" s="48"/>
    </row>
    <row r="1517">
      <c r="A1517" s="48"/>
      <c r="B1517" s="54"/>
      <c r="C1517" s="48"/>
    </row>
    <row r="1518">
      <c r="A1518" s="48"/>
      <c r="B1518" s="54"/>
      <c r="C1518" s="48"/>
    </row>
    <row r="1519">
      <c r="A1519" s="48"/>
      <c r="B1519" s="54"/>
      <c r="C1519" s="48"/>
    </row>
    <row r="1520">
      <c r="A1520" s="48"/>
      <c r="B1520" s="54"/>
      <c r="C1520" s="48"/>
    </row>
    <row r="1521">
      <c r="A1521" s="48"/>
      <c r="B1521" s="54"/>
      <c r="C1521" s="48"/>
    </row>
    <row r="1522">
      <c r="A1522" s="48"/>
      <c r="B1522" s="54"/>
      <c r="C1522" s="48"/>
    </row>
    <row r="1523">
      <c r="A1523" s="48"/>
      <c r="B1523" s="54"/>
      <c r="C1523" s="48"/>
    </row>
    <row r="1524">
      <c r="A1524" s="48"/>
      <c r="B1524" s="54"/>
      <c r="C1524" s="48"/>
    </row>
    <row r="1525">
      <c r="A1525" s="48"/>
      <c r="B1525" s="54"/>
      <c r="C1525" s="48"/>
    </row>
    <row r="1526">
      <c r="A1526" s="48"/>
      <c r="B1526" s="54"/>
      <c r="C1526" s="48"/>
    </row>
    <row r="1527">
      <c r="A1527" s="48"/>
      <c r="B1527" s="54"/>
      <c r="C1527" s="48"/>
    </row>
    <row r="1528">
      <c r="A1528" s="48"/>
      <c r="B1528" s="54"/>
      <c r="C1528" s="48"/>
    </row>
    <row r="1529">
      <c r="A1529" s="48"/>
      <c r="B1529" s="54"/>
      <c r="C1529" s="48"/>
    </row>
    <row r="1530">
      <c r="A1530" s="48"/>
      <c r="B1530" s="54"/>
      <c r="C1530" s="48"/>
    </row>
    <row r="1531">
      <c r="A1531" s="48"/>
      <c r="B1531" s="54"/>
      <c r="C1531" s="48"/>
    </row>
    <row r="1532">
      <c r="A1532" s="48"/>
      <c r="B1532" s="54"/>
      <c r="C1532" s="48"/>
    </row>
    <row r="1533">
      <c r="A1533" s="48"/>
      <c r="B1533" s="54"/>
      <c r="C1533" s="48"/>
    </row>
    <row r="1534">
      <c r="A1534" s="48"/>
      <c r="B1534" s="54"/>
      <c r="C1534" s="48"/>
    </row>
    <row r="1535">
      <c r="A1535" s="48"/>
      <c r="B1535" s="54"/>
      <c r="C1535" s="48"/>
    </row>
    <row r="1536">
      <c r="A1536" s="48"/>
      <c r="B1536" s="54"/>
      <c r="C1536" s="48"/>
    </row>
    <row r="1537">
      <c r="A1537" s="48"/>
      <c r="B1537" s="54"/>
      <c r="C1537" s="48"/>
    </row>
    <row r="1538">
      <c r="A1538" s="48"/>
      <c r="B1538" s="54"/>
      <c r="C1538" s="48"/>
    </row>
    <row r="1539">
      <c r="A1539" s="48"/>
      <c r="B1539" s="54"/>
      <c r="C1539" s="48"/>
    </row>
    <row r="1540">
      <c r="A1540" s="48"/>
      <c r="B1540" s="54"/>
      <c r="C1540" s="48"/>
    </row>
    <row r="1541">
      <c r="A1541" s="48"/>
      <c r="B1541" s="54"/>
      <c r="C1541" s="48"/>
    </row>
    <row r="1542">
      <c r="A1542" s="48"/>
      <c r="B1542" s="54"/>
      <c r="C1542" s="48"/>
    </row>
    <row r="1543">
      <c r="A1543" s="48"/>
      <c r="B1543" s="54"/>
      <c r="C1543" s="48"/>
    </row>
    <row r="1544">
      <c r="A1544" s="48"/>
      <c r="B1544" s="54"/>
      <c r="C1544" s="48"/>
    </row>
    <row r="1545">
      <c r="A1545" s="48"/>
      <c r="B1545" s="54"/>
      <c r="C1545" s="48"/>
    </row>
    <row r="1546">
      <c r="A1546" s="48"/>
      <c r="B1546" s="54"/>
      <c r="C1546" s="48"/>
    </row>
    <row r="1547">
      <c r="A1547" s="48"/>
      <c r="B1547" s="54"/>
      <c r="C1547" s="48"/>
    </row>
    <row r="1548">
      <c r="A1548" s="48"/>
      <c r="B1548" s="54"/>
      <c r="C1548" s="48"/>
    </row>
    <row r="1549">
      <c r="A1549" s="48"/>
      <c r="B1549" s="54"/>
      <c r="C1549" s="48"/>
    </row>
    <row r="1550">
      <c r="A1550" s="48"/>
      <c r="B1550" s="54"/>
      <c r="C1550" s="48"/>
    </row>
    <row r="1551">
      <c r="A1551" s="48"/>
      <c r="B1551" s="54"/>
      <c r="C1551" s="48"/>
    </row>
    <row r="1552">
      <c r="A1552" s="48"/>
      <c r="B1552" s="54"/>
      <c r="C1552" s="48"/>
    </row>
    <row r="1553">
      <c r="A1553" s="48"/>
      <c r="B1553" s="54"/>
      <c r="C1553" s="48"/>
    </row>
    <row r="1554">
      <c r="A1554" s="48"/>
      <c r="B1554" s="54"/>
      <c r="C1554" s="48"/>
    </row>
    <row r="1555">
      <c r="A1555" s="48"/>
      <c r="B1555" s="54"/>
      <c r="C1555" s="48"/>
    </row>
    <row r="1556">
      <c r="A1556" s="48"/>
      <c r="B1556" s="54"/>
      <c r="C1556" s="48"/>
    </row>
    <row r="1557">
      <c r="A1557" s="48"/>
      <c r="B1557" s="54"/>
      <c r="C1557" s="48"/>
    </row>
    <row r="1558">
      <c r="A1558" s="48"/>
      <c r="B1558" s="54"/>
      <c r="C1558" s="48"/>
    </row>
    <row r="1559">
      <c r="A1559" s="48"/>
      <c r="B1559" s="54"/>
      <c r="C1559" s="48"/>
    </row>
    <row r="1560">
      <c r="A1560" s="48"/>
      <c r="B1560" s="54"/>
      <c r="C1560" s="48"/>
    </row>
    <row r="1561">
      <c r="A1561" s="48"/>
      <c r="B1561" s="54"/>
      <c r="C1561" s="48"/>
    </row>
    <row r="1562">
      <c r="A1562" s="48"/>
      <c r="B1562" s="54"/>
      <c r="C1562" s="48"/>
    </row>
    <row r="1563">
      <c r="A1563" s="48"/>
      <c r="B1563" s="54"/>
      <c r="C1563" s="48"/>
    </row>
    <row r="1564">
      <c r="A1564" s="48"/>
      <c r="B1564" s="54"/>
      <c r="C1564" s="48"/>
    </row>
    <row r="1565">
      <c r="A1565" s="48"/>
      <c r="B1565" s="54"/>
      <c r="C1565" s="48"/>
    </row>
    <row r="1566">
      <c r="A1566" s="48"/>
      <c r="B1566" s="54"/>
      <c r="C1566" s="48"/>
    </row>
    <row r="1567">
      <c r="A1567" s="48"/>
      <c r="B1567" s="54"/>
      <c r="C1567" s="48"/>
    </row>
    <row r="1568">
      <c r="A1568" s="48"/>
      <c r="B1568" s="54"/>
      <c r="C1568" s="48"/>
    </row>
    <row r="1569">
      <c r="A1569" s="48"/>
      <c r="B1569" s="54"/>
      <c r="C1569" s="48"/>
    </row>
    <row r="1570">
      <c r="A1570" s="48"/>
      <c r="B1570" s="54"/>
      <c r="C1570" s="48"/>
    </row>
    <row r="1571">
      <c r="A1571" s="48"/>
      <c r="B1571" s="54"/>
      <c r="C1571" s="48"/>
    </row>
    <row r="1572">
      <c r="A1572" s="48"/>
      <c r="B1572" s="54"/>
      <c r="C1572" s="48"/>
    </row>
    <row r="1573">
      <c r="A1573" s="48"/>
      <c r="B1573" s="54"/>
      <c r="C1573" s="48"/>
    </row>
    <row r="1574">
      <c r="A1574" s="48"/>
      <c r="B1574" s="54"/>
      <c r="C1574" s="48"/>
    </row>
    <row r="1575">
      <c r="A1575" s="48"/>
      <c r="B1575" s="54"/>
      <c r="C1575" s="48"/>
    </row>
    <row r="1576">
      <c r="A1576" s="48"/>
      <c r="B1576" s="54"/>
      <c r="C1576" s="48"/>
    </row>
    <row r="1577">
      <c r="A1577" s="48"/>
      <c r="B1577" s="54"/>
      <c r="C1577" s="48"/>
    </row>
    <row r="1578">
      <c r="A1578" s="48"/>
      <c r="B1578" s="54"/>
      <c r="C1578" s="48"/>
    </row>
    <row r="1579">
      <c r="A1579" s="48"/>
      <c r="B1579" s="54"/>
      <c r="C1579" s="48"/>
    </row>
    <row r="1580">
      <c r="A1580" s="48"/>
      <c r="B1580" s="54"/>
      <c r="C1580" s="48"/>
    </row>
    <row r="1581">
      <c r="A1581" s="48"/>
      <c r="B1581" s="54"/>
      <c r="C1581" s="48"/>
    </row>
    <row r="1582">
      <c r="A1582" s="48"/>
      <c r="B1582" s="54"/>
      <c r="C1582" s="48"/>
    </row>
    <row r="1583">
      <c r="A1583" s="48"/>
      <c r="B1583" s="54"/>
      <c r="C1583" s="48"/>
    </row>
    <row r="1584">
      <c r="A1584" s="48"/>
      <c r="B1584" s="54"/>
      <c r="C1584" s="48"/>
    </row>
    <row r="1585">
      <c r="A1585" s="48"/>
      <c r="B1585" s="54"/>
      <c r="C1585" s="48"/>
    </row>
    <row r="1586">
      <c r="A1586" s="48"/>
      <c r="B1586" s="54"/>
      <c r="C1586" s="48"/>
    </row>
    <row r="1587">
      <c r="A1587" s="48"/>
      <c r="B1587" s="54"/>
      <c r="C1587" s="48"/>
    </row>
    <row r="1588">
      <c r="A1588" s="48"/>
      <c r="B1588" s="54"/>
      <c r="C1588" s="48"/>
    </row>
    <row r="1589">
      <c r="A1589" s="48"/>
      <c r="B1589" s="54"/>
      <c r="C1589" s="48"/>
    </row>
    <row r="1590">
      <c r="A1590" s="48"/>
      <c r="B1590" s="54"/>
      <c r="C1590" s="48"/>
    </row>
    <row r="1591">
      <c r="A1591" s="48"/>
      <c r="B1591" s="54"/>
      <c r="C1591" s="48"/>
    </row>
    <row r="1592">
      <c r="A1592" s="48"/>
      <c r="B1592" s="54"/>
      <c r="C1592" s="48"/>
    </row>
    <row r="1593">
      <c r="A1593" s="48"/>
      <c r="B1593" s="54"/>
      <c r="C1593" s="48"/>
    </row>
    <row r="1594">
      <c r="A1594" s="48"/>
      <c r="B1594" s="54"/>
      <c r="C1594" s="48"/>
    </row>
    <row r="1595">
      <c r="A1595" s="48"/>
      <c r="B1595" s="54"/>
      <c r="C1595" s="48"/>
    </row>
    <row r="1596">
      <c r="A1596" s="48"/>
      <c r="B1596" s="54"/>
      <c r="C1596" s="48"/>
    </row>
    <row r="1597">
      <c r="A1597" s="48"/>
      <c r="B1597" s="54"/>
      <c r="C1597" s="48"/>
    </row>
    <row r="1598">
      <c r="A1598" s="48"/>
      <c r="B1598" s="54"/>
      <c r="C1598" s="48"/>
    </row>
    <row r="1599">
      <c r="A1599" s="48"/>
      <c r="B1599" s="54"/>
      <c r="C1599" s="48"/>
    </row>
    <row r="1600">
      <c r="A1600" s="48"/>
      <c r="B1600" s="54"/>
      <c r="C1600" s="48"/>
    </row>
    <row r="1601">
      <c r="A1601" s="48"/>
      <c r="B1601" s="54"/>
      <c r="C1601" s="48"/>
    </row>
    <row r="1602">
      <c r="A1602" s="48"/>
      <c r="B1602" s="54"/>
      <c r="C1602" s="48"/>
    </row>
    <row r="1603">
      <c r="A1603" s="48"/>
      <c r="B1603" s="54"/>
      <c r="C1603" s="48"/>
    </row>
    <row r="1604">
      <c r="A1604" s="48"/>
      <c r="B1604" s="54"/>
      <c r="C1604" s="48"/>
    </row>
    <row r="1605">
      <c r="A1605" s="48"/>
      <c r="B1605" s="54"/>
      <c r="C1605" s="48"/>
    </row>
    <row r="1606">
      <c r="A1606" s="48"/>
      <c r="B1606" s="54"/>
      <c r="C1606" s="48"/>
    </row>
    <row r="1607">
      <c r="A1607" s="48"/>
      <c r="B1607" s="54"/>
      <c r="C1607" s="48"/>
    </row>
    <row r="1608">
      <c r="A1608" s="48"/>
      <c r="B1608" s="54"/>
      <c r="C1608" s="48"/>
    </row>
    <row r="1609">
      <c r="A1609" s="48"/>
      <c r="B1609" s="54"/>
      <c r="C1609" s="48"/>
    </row>
    <row r="1610">
      <c r="A1610" s="48"/>
      <c r="B1610" s="54"/>
      <c r="C1610" s="48"/>
    </row>
    <row r="1611">
      <c r="A1611" s="48"/>
      <c r="B1611" s="54"/>
      <c r="C1611" s="48"/>
    </row>
    <row r="1612">
      <c r="A1612" s="48"/>
      <c r="B1612" s="54"/>
      <c r="C1612" s="48"/>
    </row>
    <row r="1613">
      <c r="A1613" s="48"/>
      <c r="B1613" s="54"/>
      <c r="C1613" s="48"/>
    </row>
    <row r="1614">
      <c r="A1614" s="48"/>
      <c r="B1614" s="54"/>
      <c r="C1614" s="48"/>
    </row>
    <row r="1615">
      <c r="A1615" s="48"/>
      <c r="B1615" s="54"/>
      <c r="C1615" s="48"/>
    </row>
    <row r="1616">
      <c r="A1616" s="48"/>
      <c r="B1616" s="54"/>
      <c r="C1616" s="48"/>
    </row>
    <row r="1617">
      <c r="A1617" s="48"/>
      <c r="B1617" s="54"/>
      <c r="C1617" s="48"/>
    </row>
    <row r="1618">
      <c r="A1618" s="48"/>
      <c r="B1618" s="54"/>
      <c r="C1618" s="48"/>
    </row>
    <row r="1619">
      <c r="A1619" s="48"/>
      <c r="B1619" s="54"/>
      <c r="C1619" s="48"/>
    </row>
    <row r="1620">
      <c r="A1620" s="48"/>
      <c r="B1620" s="54"/>
      <c r="C1620" s="48"/>
    </row>
    <row r="1621">
      <c r="A1621" s="48"/>
      <c r="B1621" s="54"/>
      <c r="C1621" s="48"/>
    </row>
    <row r="1622">
      <c r="A1622" s="48"/>
      <c r="B1622" s="54"/>
      <c r="C1622" s="48"/>
    </row>
    <row r="1623">
      <c r="A1623" s="48"/>
      <c r="B1623" s="54"/>
      <c r="C1623" s="48"/>
    </row>
    <row r="1624">
      <c r="A1624" s="48"/>
      <c r="B1624" s="54"/>
      <c r="C1624" s="48"/>
    </row>
    <row r="1625">
      <c r="A1625" s="48"/>
      <c r="B1625" s="54"/>
      <c r="C1625" s="48"/>
    </row>
    <row r="1626">
      <c r="A1626" s="48"/>
      <c r="B1626" s="54"/>
      <c r="C1626" s="48"/>
    </row>
    <row r="1627">
      <c r="A1627" s="48"/>
      <c r="B1627" s="54"/>
      <c r="C1627" s="48"/>
    </row>
    <row r="1628">
      <c r="A1628" s="48"/>
      <c r="B1628" s="54"/>
      <c r="C1628" s="48"/>
    </row>
    <row r="1629">
      <c r="A1629" s="48"/>
      <c r="B1629" s="54"/>
      <c r="C1629" s="48"/>
    </row>
    <row r="1630">
      <c r="A1630" s="48"/>
      <c r="B1630" s="54"/>
      <c r="C1630" s="48"/>
    </row>
    <row r="1631">
      <c r="A1631" s="48"/>
      <c r="B1631" s="54"/>
      <c r="C1631" s="48"/>
    </row>
    <row r="1632">
      <c r="A1632" s="48"/>
      <c r="B1632" s="54"/>
      <c r="C1632" s="48"/>
    </row>
    <row r="1633">
      <c r="A1633" s="48"/>
      <c r="B1633" s="54"/>
      <c r="C1633" s="48"/>
    </row>
    <row r="1634">
      <c r="A1634" s="48"/>
      <c r="B1634" s="54"/>
      <c r="C1634" s="48"/>
    </row>
    <row r="1635">
      <c r="A1635" s="48"/>
      <c r="B1635" s="54"/>
      <c r="C1635" s="48"/>
    </row>
    <row r="1636">
      <c r="A1636" s="48"/>
      <c r="B1636" s="54"/>
      <c r="C1636" s="48"/>
    </row>
    <row r="1637">
      <c r="A1637" s="48"/>
      <c r="B1637" s="54"/>
      <c r="C1637" s="48"/>
    </row>
    <row r="1638">
      <c r="A1638" s="48"/>
      <c r="B1638" s="54"/>
      <c r="C1638" s="48"/>
    </row>
    <row r="1639">
      <c r="A1639" s="48"/>
      <c r="B1639" s="54"/>
      <c r="C1639" s="48"/>
    </row>
    <row r="1640">
      <c r="A1640" s="48"/>
      <c r="B1640" s="54"/>
      <c r="C1640" s="48"/>
    </row>
    <row r="1641">
      <c r="A1641" s="48"/>
      <c r="B1641" s="54"/>
      <c r="C1641" s="48"/>
    </row>
    <row r="1642">
      <c r="A1642" s="48"/>
      <c r="B1642" s="54"/>
      <c r="C1642" s="48"/>
    </row>
    <row r="1643">
      <c r="A1643" s="48"/>
      <c r="B1643" s="54"/>
      <c r="C1643" s="48"/>
    </row>
    <row r="1644">
      <c r="A1644" s="48"/>
      <c r="B1644" s="54"/>
      <c r="C1644" s="48"/>
    </row>
    <row r="1645">
      <c r="A1645" s="48"/>
      <c r="B1645" s="54"/>
      <c r="C1645" s="48"/>
    </row>
    <row r="1646">
      <c r="A1646" s="48"/>
      <c r="B1646" s="54"/>
      <c r="C1646" s="48"/>
    </row>
    <row r="1647">
      <c r="A1647" s="48"/>
      <c r="B1647" s="54"/>
      <c r="C1647" s="48"/>
    </row>
    <row r="1648">
      <c r="A1648" s="48"/>
      <c r="B1648" s="54"/>
      <c r="C1648" s="48"/>
    </row>
    <row r="1649">
      <c r="A1649" s="48"/>
      <c r="B1649" s="54"/>
      <c r="C1649" s="48"/>
    </row>
    <row r="1650">
      <c r="A1650" s="48"/>
      <c r="B1650" s="54"/>
      <c r="C1650" s="48"/>
    </row>
    <row r="1651">
      <c r="A1651" s="48"/>
      <c r="B1651" s="54"/>
      <c r="C1651" s="48"/>
    </row>
    <row r="1652">
      <c r="A1652" s="48"/>
      <c r="B1652" s="54"/>
      <c r="C1652" s="48"/>
    </row>
    <row r="1653">
      <c r="A1653" s="48"/>
      <c r="B1653" s="54"/>
      <c r="C1653" s="48"/>
    </row>
    <row r="1654">
      <c r="A1654" s="48"/>
      <c r="B1654" s="54"/>
      <c r="C1654" s="48"/>
    </row>
    <row r="1655">
      <c r="A1655" s="48"/>
      <c r="B1655" s="54"/>
      <c r="C1655" s="48"/>
    </row>
    <row r="1656">
      <c r="A1656" s="48"/>
      <c r="B1656" s="54"/>
      <c r="C1656" s="48"/>
    </row>
    <row r="1657">
      <c r="A1657" s="48"/>
      <c r="B1657" s="54"/>
      <c r="C1657" s="48"/>
    </row>
    <row r="1658">
      <c r="A1658" s="48"/>
      <c r="B1658" s="54"/>
      <c r="C1658" s="48"/>
    </row>
    <row r="1659">
      <c r="A1659" s="48"/>
      <c r="B1659" s="54"/>
      <c r="C1659" s="48"/>
    </row>
    <row r="1660">
      <c r="A1660" s="48"/>
      <c r="B1660" s="54"/>
      <c r="C1660" s="48"/>
    </row>
    <row r="1661">
      <c r="A1661" s="48"/>
      <c r="B1661" s="54"/>
      <c r="C1661" s="48"/>
    </row>
    <row r="1662">
      <c r="A1662" s="48"/>
      <c r="B1662" s="54"/>
      <c r="C1662" s="48"/>
    </row>
    <row r="1663">
      <c r="A1663" s="48"/>
      <c r="B1663" s="54"/>
      <c r="C1663" s="48"/>
    </row>
    <row r="1664">
      <c r="A1664" s="48"/>
      <c r="B1664" s="54"/>
      <c r="C1664" s="48"/>
    </row>
    <row r="1665">
      <c r="A1665" s="48"/>
      <c r="B1665" s="54"/>
      <c r="C1665" s="48"/>
    </row>
    <row r="1666">
      <c r="A1666" s="48"/>
      <c r="B1666" s="54"/>
      <c r="C1666" s="48"/>
    </row>
    <row r="1667">
      <c r="A1667" s="48"/>
      <c r="B1667" s="54"/>
      <c r="C1667" s="48"/>
    </row>
    <row r="1668">
      <c r="A1668" s="48"/>
      <c r="B1668" s="54"/>
      <c r="C1668" s="48"/>
    </row>
    <row r="1669">
      <c r="A1669" s="48"/>
      <c r="B1669" s="54"/>
      <c r="C1669" s="48"/>
    </row>
    <row r="1670">
      <c r="A1670" s="48"/>
      <c r="B1670" s="54"/>
      <c r="C1670" s="48"/>
    </row>
    <row r="1671">
      <c r="A1671" s="48"/>
      <c r="B1671" s="54"/>
      <c r="C1671" s="48"/>
    </row>
    <row r="1672">
      <c r="A1672" s="48"/>
      <c r="B1672" s="54"/>
      <c r="C1672" s="48"/>
    </row>
    <row r="1673">
      <c r="A1673" s="48"/>
      <c r="B1673" s="54"/>
      <c r="C1673" s="48"/>
    </row>
    <row r="1674">
      <c r="A1674" s="48"/>
      <c r="B1674" s="54"/>
      <c r="C1674" s="48"/>
    </row>
    <row r="1675">
      <c r="A1675" s="48"/>
      <c r="B1675" s="54"/>
      <c r="C1675" s="48"/>
    </row>
    <row r="1676">
      <c r="A1676" s="48"/>
      <c r="B1676" s="54"/>
      <c r="C1676" s="48"/>
    </row>
    <row r="1677">
      <c r="A1677" s="48"/>
      <c r="B1677" s="54"/>
      <c r="C1677" s="48"/>
    </row>
    <row r="1678">
      <c r="A1678" s="48"/>
      <c r="B1678" s="54"/>
      <c r="C1678" s="48"/>
    </row>
    <row r="1679">
      <c r="A1679" s="48"/>
      <c r="B1679" s="54"/>
      <c r="C1679" s="48"/>
    </row>
    <row r="1680">
      <c r="A1680" s="48"/>
      <c r="B1680" s="54"/>
      <c r="C1680" s="48"/>
    </row>
    <row r="1681">
      <c r="A1681" s="48"/>
      <c r="B1681" s="54"/>
      <c r="C1681" s="48"/>
    </row>
    <row r="1682">
      <c r="A1682" s="48"/>
      <c r="B1682" s="54"/>
      <c r="C1682" s="48"/>
    </row>
    <row r="1683">
      <c r="A1683" s="48"/>
      <c r="B1683" s="54"/>
      <c r="C1683" s="48"/>
    </row>
    <row r="1684">
      <c r="A1684" s="48"/>
      <c r="B1684" s="54"/>
      <c r="C1684" s="48"/>
    </row>
    <row r="1685">
      <c r="A1685" s="48"/>
      <c r="B1685" s="54"/>
      <c r="C1685" s="48"/>
    </row>
    <row r="1686">
      <c r="A1686" s="48"/>
      <c r="B1686" s="54"/>
      <c r="C1686" s="48"/>
    </row>
    <row r="1687">
      <c r="A1687" s="48"/>
      <c r="B1687" s="54"/>
      <c r="C1687" s="48"/>
    </row>
    <row r="1688">
      <c r="A1688" s="48"/>
      <c r="B1688" s="54"/>
      <c r="C1688" s="48"/>
    </row>
    <row r="1689">
      <c r="A1689" s="48"/>
      <c r="B1689" s="54"/>
      <c r="C1689" s="48"/>
    </row>
    <row r="1690">
      <c r="A1690" s="48"/>
      <c r="B1690" s="54"/>
      <c r="C1690" s="48"/>
    </row>
    <row r="1691">
      <c r="A1691" s="48"/>
      <c r="B1691" s="54"/>
      <c r="C1691" s="48"/>
    </row>
    <row r="1692">
      <c r="A1692" s="48"/>
      <c r="B1692" s="54"/>
      <c r="C1692" s="48"/>
    </row>
    <row r="1693">
      <c r="A1693" s="48"/>
      <c r="B1693" s="54"/>
      <c r="C1693" s="48"/>
    </row>
    <row r="1694">
      <c r="A1694" s="48"/>
      <c r="B1694" s="54"/>
      <c r="C1694" s="48"/>
    </row>
    <row r="1695">
      <c r="A1695" s="48"/>
      <c r="B1695" s="54"/>
      <c r="C1695" s="48"/>
    </row>
    <row r="1696">
      <c r="A1696" s="48"/>
      <c r="B1696" s="54"/>
      <c r="C1696" s="48"/>
    </row>
    <row r="1697">
      <c r="A1697" s="48"/>
      <c r="B1697" s="54"/>
      <c r="C1697" s="48"/>
    </row>
    <row r="1698">
      <c r="A1698" s="48"/>
      <c r="B1698" s="54"/>
      <c r="C1698" s="48"/>
    </row>
    <row r="1699">
      <c r="A1699" s="48"/>
      <c r="B1699" s="54"/>
      <c r="C1699" s="48"/>
    </row>
    <row r="1700">
      <c r="A1700" s="48"/>
      <c r="B1700" s="54"/>
      <c r="C1700" s="48"/>
    </row>
    <row r="1701">
      <c r="A1701" s="48"/>
      <c r="B1701" s="54"/>
      <c r="C1701" s="48"/>
    </row>
    <row r="1702">
      <c r="A1702" s="48"/>
      <c r="B1702" s="54"/>
      <c r="C1702" s="48"/>
    </row>
    <row r="1703">
      <c r="A1703" s="48"/>
      <c r="B1703" s="54"/>
      <c r="C1703" s="48"/>
    </row>
    <row r="1704">
      <c r="A1704" s="48"/>
      <c r="B1704" s="54"/>
      <c r="C1704" s="48"/>
    </row>
    <row r="1705">
      <c r="A1705" s="48"/>
      <c r="B1705" s="54"/>
      <c r="C1705" s="48"/>
    </row>
    <row r="1706">
      <c r="A1706" s="48"/>
      <c r="B1706" s="54"/>
      <c r="C1706" s="48"/>
    </row>
    <row r="1707">
      <c r="A1707" s="48"/>
      <c r="B1707" s="54"/>
      <c r="C1707" s="48"/>
    </row>
    <row r="1708">
      <c r="A1708" s="48"/>
      <c r="B1708" s="54"/>
      <c r="C1708" s="48"/>
    </row>
    <row r="1709">
      <c r="A1709" s="48"/>
      <c r="B1709" s="54"/>
      <c r="C1709" s="48"/>
    </row>
    <row r="1710">
      <c r="A1710" s="48"/>
      <c r="B1710" s="54"/>
      <c r="C1710" s="48"/>
    </row>
    <row r="1711">
      <c r="A1711" s="48"/>
      <c r="B1711" s="54"/>
      <c r="C1711" s="48"/>
    </row>
    <row r="1712">
      <c r="A1712" s="48"/>
      <c r="B1712" s="54"/>
      <c r="C1712" s="48"/>
    </row>
    <row r="1713">
      <c r="A1713" s="48"/>
      <c r="B1713" s="54"/>
      <c r="C1713" s="48"/>
    </row>
    <row r="1714">
      <c r="A1714" s="48"/>
      <c r="B1714" s="54"/>
      <c r="C1714" s="48"/>
    </row>
    <row r="1715">
      <c r="A1715" s="48"/>
      <c r="B1715" s="54"/>
      <c r="C1715" s="48"/>
    </row>
    <row r="1716">
      <c r="A1716" s="48"/>
      <c r="B1716" s="54"/>
      <c r="C1716" s="48"/>
    </row>
    <row r="1717">
      <c r="A1717" s="48"/>
      <c r="B1717" s="54"/>
      <c r="C1717" s="48"/>
    </row>
    <row r="1718">
      <c r="A1718" s="48"/>
      <c r="B1718" s="54"/>
      <c r="C1718" s="48"/>
    </row>
    <row r="1719">
      <c r="A1719" s="48"/>
      <c r="B1719" s="54"/>
      <c r="C1719" s="48"/>
    </row>
    <row r="1720">
      <c r="A1720" s="48"/>
      <c r="B1720" s="54"/>
      <c r="C1720" s="48"/>
    </row>
    <row r="1721">
      <c r="A1721" s="48"/>
      <c r="B1721" s="54"/>
      <c r="C1721" s="48"/>
    </row>
    <row r="1722">
      <c r="A1722" s="48"/>
      <c r="B1722" s="54"/>
      <c r="C1722" s="48"/>
    </row>
    <row r="1723">
      <c r="A1723" s="48"/>
      <c r="B1723" s="54"/>
      <c r="C1723" s="48"/>
    </row>
    <row r="1724">
      <c r="A1724" s="48"/>
      <c r="B1724" s="54"/>
      <c r="C1724" s="48"/>
    </row>
    <row r="1725">
      <c r="A1725" s="48"/>
      <c r="B1725" s="54"/>
      <c r="C1725" s="48"/>
    </row>
    <row r="1726">
      <c r="A1726" s="48"/>
      <c r="B1726" s="54"/>
      <c r="C1726" s="48"/>
    </row>
    <row r="1727">
      <c r="A1727" s="48"/>
      <c r="B1727" s="54"/>
      <c r="C1727" s="48"/>
    </row>
    <row r="1728">
      <c r="A1728" s="48"/>
      <c r="B1728" s="54"/>
      <c r="C1728" s="48"/>
    </row>
    <row r="1729">
      <c r="A1729" s="48"/>
      <c r="B1729" s="54"/>
      <c r="C1729" s="48"/>
    </row>
    <row r="1730">
      <c r="A1730" s="48"/>
      <c r="B1730" s="54"/>
      <c r="C1730" s="48"/>
    </row>
    <row r="1731">
      <c r="A1731" s="48"/>
      <c r="B1731" s="54"/>
      <c r="C1731" s="48"/>
    </row>
    <row r="1732">
      <c r="A1732" s="48"/>
      <c r="B1732" s="54"/>
      <c r="C1732" s="48"/>
    </row>
    <row r="1733">
      <c r="A1733" s="48"/>
      <c r="B1733" s="54"/>
      <c r="C1733" s="48"/>
    </row>
    <row r="1734">
      <c r="A1734" s="48"/>
      <c r="B1734" s="54"/>
      <c r="C1734" s="48"/>
    </row>
    <row r="1735">
      <c r="A1735" s="48"/>
      <c r="B1735" s="54"/>
      <c r="C1735" s="48"/>
    </row>
    <row r="1736">
      <c r="A1736" s="48"/>
      <c r="B1736" s="54"/>
      <c r="C1736" s="48"/>
    </row>
    <row r="1737">
      <c r="A1737" s="48"/>
      <c r="B1737" s="54"/>
      <c r="C1737" s="48"/>
    </row>
    <row r="1738">
      <c r="A1738" s="48"/>
      <c r="B1738" s="54"/>
      <c r="C1738" s="48"/>
    </row>
    <row r="1739">
      <c r="A1739" s="48"/>
      <c r="B1739" s="54"/>
      <c r="C1739" s="48"/>
    </row>
    <row r="1740">
      <c r="A1740" s="48"/>
      <c r="B1740" s="54"/>
      <c r="C1740" s="48"/>
    </row>
    <row r="1741">
      <c r="A1741" s="48"/>
      <c r="B1741" s="54"/>
      <c r="C1741" s="48"/>
    </row>
    <row r="1742">
      <c r="A1742" s="48"/>
      <c r="B1742" s="54"/>
      <c r="C1742" s="48"/>
    </row>
    <row r="1743">
      <c r="A1743" s="48"/>
      <c r="B1743" s="54"/>
      <c r="C1743" s="48"/>
    </row>
    <row r="1744">
      <c r="A1744" s="48"/>
      <c r="B1744" s="54"/>
      <c r="C1744" s="48"/>
    </row>
    <row r="1745">
      <c r="A1745" s="48"/>
      <c r="B1745" s="54"/>
      <c r="C1745" s="48"/>
    </row>
    <row r="1746">
      <c r="A1746" s="48"/>
      <c r="B1746" s="54"/>
      <c r="C1746" s="48"/>
    </row>
    <row r="1747">
      <c r="A1747" s="48"/>
      <c r="B1747" s="54"/>
      <c r="C1747" s="48"/>
    </row>
    <row r="1748">
      <c r="A1748" s="48"/>
      <c r="B1748" s="54"/>
      <c r="C1748" s="48"/>
    </row>
    <row r="1749">
      <c r="A1749" s="48"/>
      <c r="B1749" s="54"/>
      <c r="C1749" s="48"/>
    </row>
    <row r="1750">
      <c r="A1750" s="48"/>
      <c r="B1750" s="54"/>
      <c r="C1750" s="48"/>
    </row>
    <row r="1751">
      <c r="A1751" s="48"/>
      <c r="B1751" s="54"/>
      <c r="C1751" s="48"/>
    </row>
    <row r="1752">
      <c r="A1752" s="48"/>
      <c r="B1752" s="54"/>
      <c r="C1752" s="48"/>
    </row>
    <row r="1753">
      <c r="A1753" s="48"/>
      <c r="B1753" s="54"/>
      <c r="C1753" s="48"/>
    </row>
    <row r="1754">
      <c r="A1754" s="48"/>
      <c r="B1754" s="54"/>
      <c r="C1754" s="48"/>
    </row>
    <row r="1755">
      <c r="A1755" s="48"/>
      <c r="B1755" s="54"/>
      <c r="C1755" s="48"/>
    </row>
    <row r="1756">
      <c r="A1756" s="48"/>
      <c r="B1756" s="54"/>
      <c r="C1756" s="48"/>
    </row>
    <row r="1757">
      <c r="A1757" s="48"/>
      <c r="B1757" s="54"/>
      <c r="C1757" s="48"/>
    </row>
    <row r="1758">
      <c r="A1758" s="48"/>
      <c r="B1758" s="54"/>
      <c r="C1758" s="48"/>
    </row>
    <row r="1759">
      <c r="A1759" s="48"/>
      <c r="B1759" s="54"/>
      <c r="C1759" s="48"/>
    </row>
    <row r="1760">
      <c r="A1760" s="48"/>
      <c r="B1760" s="54"/>
      <c r="C1760" s="48"/>
    </row>
    <row r="1761">
      <c r="A1761" s="48"/>
      <c r="B1761" s="54"/>
      <c r="C1761" s="48"/>
    </row>
    <row r="1762">
      <c r="A1762" s="48"/>
      <c r="B1762" s="54"/>
      <c r="C1762" s="48"/>
    </row>
    <row r="1763">
      <c r="A1763" s="48"/>
      <c r="B1763" s="54"/>
      <c r="C1763" s="48"/>
    </row>
    <row r="1764">
      <c r="A1764" s="48"/>
      <c r="B1764" s="54"/>
      <c r="C1764" s="48"/>
    </row>
    <row r="1765">
      <c r="A1765" s="48"/>
      <c r="B1765" s="54"/>
      <c r="C1765" s="48"/>
    </row>
    <row r="1766">
      <c r="A1766" s="48"/>
      <c r="B1766" s="54"/>
      <c r="C1766" s="48"/>
    </row>
    <row r="1767">
      <c r="A1767" s="48"/>
      <c r="B1767" s="54"/>
      <c r="C1767" s="48"/>
    </row>
    <row r="1768">
      <c r="A1768" s="48"/>
      <c r="B1768" s="54"/>
      <c r="C1768" s="48"/>
    </row>
    <row r="1769">
      <c r="A1769" s="48"/>
      <c r="B1769" s="54"/>
      <c r="C1769" s="48"/>
    </row>
    <row r="1770">
      <c r="A1770" s="48"/>
      <c r="B1770" s="54"/>
      <c r="C1770" s="48"/>
    </row>
    <row r="1771">
      <c r="A1771" s="48"/>
      <c r="B1771" s="54"/>
      <c r="C1771" s="48"/>
    </row>
    <row r="1772">
      <c r="A1772" s="48"/>
      <c r="B1772" s="54"/>
      <c r="C1772" s="48"/>
    </row>
    <row r="1773">
      <c r="A1773" s="48"/>
      <c r="B1773" s="54"/>
      <c r="C1773" s="48"/>
    </row>
    <row r="1774">
      <c r="A1774" s="48"/>
      <c r="B1774" s="54"/>
      <c r="C1774" s="48"/>
    </row>
    <row r="1775">
      <c r="A1775" s="48"/>
      <c r="B1775" s="54"/>
      <c r="C1775" s="48"/>
    </row>
    <row r="1776">
      <c r="A1776" s="48"/>
      <c r="B1776" s="54"/>
      <c r="C1776" s="48"/>
    </row>
    <row r="1777">
      <c r="A1777" s="48"/>
      <c r="B1777" s="54"/>
      <c r="C1777" s="48"/>
    </row>
    <row r="1778">
      <c r="A1778" s="48"/>
      <c r="B1778" s="54"/>
      <c r="C1778" s="48"/>
    </row>
    <row r="1779">
      <c r="A1779" s="48"/>
      <c r="B1779" s="54"/>
      <c r="C1779" s="48"/>
    </row>
    <row r="1780">
      <c r="A1780" s="48"/>
      <c r="B1780" s="54"/>
      <c r="C1780" s="48"/>
    </row>
    <row r="1781">
      <c r="A1781" s="48"/>
      <c r="B1781" s="54"/>
      <c r="C1781" s="48"/>
    </row>
    <row r="1782">
      <c r="A1782" s="48"/>
      <c r="B1782" s="54"/>
      <c r="C1782" s="48"/>
    </row>
    <row r="1783">
      <c r="A1783" s="48"/>
      <c r="B1783" s="54"/>
      <c r="C1783" s="48"/>
    </row>
    <row r="1784">
      <c r="A1784" s="48"/>
      <c r="B1784" s="54"/>
      <c r="C1784" s="48"/>
    </row>
    <row r="1785">
      <c r="A1785" s="48"/>
      <c r="B1785" s="54"/>
      <c r="C1785" s="48"/>
    </row>
    <row r="1786">
      <c r="A1786" s="48"/>
      <c r="B1786" s="54"/>
      <c r="C1786" s="48"/>
    </row>
    <row r="1787">
      <c r="A1787" s="48"/>
      <c r="B1787" s="54"/>
      <c r="C1787" s="48"/>
    </row>
    <row r="1788">
      <c r="A1788" s="48"/>
      <c r="B1788" s="54"/>
      <c r="C1788" s="48"/>
    </row>
    <row r="1789">
      <c r="A1789" s="48"/>
      <c r="B1789" s="54"/>
      <c r="C1789" s="48"/>
    </row>
    <row r="1790">
      <c r="A1790" s="48"/>
      <c r="B1790" s="54"/>
      <c r="C1790" s="48"/>
    </row>
    <row r="1791">
      <c r="A1791" s="48"/>
      <c r="B1791" s="54"/>
      <c r="C1791" s="48"/>
    </row>
    <row r="1792">
      <c r="A1792" s="48"/>
      <c r="B1792" s="54"/>
      <c r="C1792" s="48"/>
    </row>
    <row r="1793">
      <c r="A1793" s="48"/>
      <c r="B1793" s="54"/>
      <c r="C1793" s="48"/>
    </row>
    <row r="1794">
      <c r="A1794" s="48"/>
      <c r="B1794" s="54"/>
      <c r="C1794" s="48"/>
    </row>
    <row r="1795">
      <c r="A1795" s="48"/>
      <c r="B1795" s="54"/>
      <c r="C1795" s="48"/>
    </row>
    <row r="1796">
      <c r="A1796" s="48"/>
      <c r="B1796" s="54"/>
      <c r="C1796" s="48"/>
    </row>
    <row r="1797">
      <c r="A1797" s="48"/>
      <c r="B1797" s="54"/>
      <c r="C1797" s="48"/>
    </row>
    <row r="1798">
      <c r="A1798" s="48"/>
      <c r="B1798" s="54"/>
      <c r="C1798" s="48"/>
    </row>
    <row r="1799">
      <c r="A1799" s="48"/>
      <c r="B1799" s="54"/>
      <c r="C1799" s="48"/>
    </row>
    <row r="1800">
      <c r="A1800" s="48"/>
      <c r="B1800" s="54"/>
      <c r="C1800" s="48"/>
    </row>
    <row r="1801">
      <c r="A1801" s="48"/>
      <c r="B1801" s="54"/>
      <c r="C1801" s="48"/>
    </row>
    <row r="1802">
      <c r="A1802" s="48"/>
      <c r="B1802" s="54"/>
      <c r="C1802" s="48"/>
    </row>
    <row r="1803">
      <c r="A1803" s="48"/>
      <c r="B1803" s="54"/>
      <c r="C1803" s="48"/>
    </row>
    <row r="1804">
      <c r="A1804" s="48"/>
      <c r="B1804" s="54"/>
      <c r="C1804" s="48"/>
    </row>
    <row r="1805">
      <c r="A1805" s="48"/>
      <c r="B1805" s="54"/>
      <c r="C1805" s="48"/>
    </row>
    <row r="1806">
      <c r="A1806" s="48"/>
      <c r="B1806" s="54"/>
      <c r="C1806" s="48"/>
    </row>
    <row r="1807">
      <c r="A1807" s="48"/>
      <c r="B1807" s="54"/>
      <c r="C1807" s="48"/>
    </row>
    <row r="1808">
      <c r="A1808" s="48"/>
      <c r="B1808" s="54"/>
      <c r="C1808" s="48"/>
    </row>
    <row r="1809">
      <c r="A1809" s="48"/>
      <c r="B1809" s="54"/>
      <c r="C1809" s="48"/>
    </row>
    <row r="1810">
      <c r="A1810" s="48"/>
      <c r="B1810" s="54"/>
      <c r="C1810" s="48"/>
    </row>
    <row r="1811">
      <c r="A1811" s="48"/>
      <c r="B1811" s="54"/>
      <c r="C1811" s="48"/>
    </row>
    <row r="1812">
      <c r="A1812" s="48"/>
      <c r="B1812" s="54"/>
      <c r="C1812" s="48"/>
    </row>
    <row r="1813">
      <c r="A1813" s="48"/>
      <c r="B1813" s="54"/>
      <c r="C1813" s="48"/>
    </row>
    <row r="1814">
      <c r="A1814" s="48"/>
      <c r="B1814" s="54"/>
      <c r="C1814" s="48"/>
    </row>
    <row r="1815">
      <c r="A1815" s="48"/>
      <c r="B1815" s="54"/>
      <c r="C1815" s="48"/>
    </row>
    <row r="1816">
      <c r="A1816" s="48"/>
      <c r="B1816" s="54"/>
      <c r="C1816" s="48"/>
    </row>
    <row r="1817">
      <c r="A1817" s="48"/>
      <c r="B1817" s="54"/>
      <c r="C1817" s="48"/>
    </row>
    <row r="1818">
      <c r="A1818" s="48"/>
      <c r="B1818" s="54"/>
      <c r="C1818" s="48"/>
    </row>
    <row r="1819">
      <c r="A1819" s="48"/>
      <c r="B1819" s="54"/>
      <c r="C1819" s="48"/>
    </row>
    <row r="1820">
      <c r="A1820" s="48"/>
      <c r="B1820" s="54"/>
      <c r="C1820" s="48"/>
    </row>
    <row r="1821">
      <c r="A1821" s="48"/>
      <c r="B1821" s="54"/>
      <c r="C1821" s="48"/>
    </row>
    <row r="1822">
      <c r="A1822" s="48"/>
      <c r="B1822" s="54"/>
      <c r="C1822" s="48"/>
    </row>
    <row r="1823">
      <c r="A1823" s="48"/>
      <c r="B1823" s="54"/>
      <c r="C1823" s="48"/>
    </row>
    <row r="1824">
      <c r="A1824" s="48"/>
      <c r="B1824" s="54"/>
      <c r="C1824" s="48"/>
    </row>
    <row r="1825">
      <c r="A1825" s="48"/>
      <c r="B1825" s="54"/>
      <c r="C1825" s="48"/>
    </row>
    <row r="1826">
      <c r="A1826" s="48"/>
      <c r="B1826" s="54"/>
      <c r="C1826" s="48"/>
    </row>
    <row r="1827">
      <c r="A1827" s="48"/>
      <c r="B1827" s="54"/>
      <c r="C1827" s="48"/>
    </row>
    <row r="1828">
      <c r="A1828" s="48"/>
      <c r="B1828" s="54"/>
      <c r="C1828" s="48"/>
    </row>
    <row r="1829">
      <c r="A1829" s="48"/>
      <c r="B1829" s="54"/>
      <c r="C1829" s="48"/>
    </row>
    <row r="1830">
      <c r="A1830" s="48"/>
      <c r="B1830" s="54"/>
      <c r="C1830" s="48"/>
    </row>
    <row r="1831">
      <c r="A1831" s="48"/>
      <c r="B1831" s="54"/>
      <c r="C1831" s="48"/>
    </row>
    <row r="1832">
      <c r="A1832" s="48"/>
      <c r="B1832" s="54"/>
      <c r="C1832" s="48"/>
    </row>
    <row r="1833">
      <c r="A1833" s="48"/>
      <c r="B1833" s="54"/>
      <c r="C1833" s="48"/>
    </row>
  </sheetData>
  <drawing r:id="rId1"/>
</worksheet>
</file>